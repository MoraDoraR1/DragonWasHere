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Desktop------\594c902e-d847-4d40-9c5c-08ca26f150fa\scratchpad\v3\"/>
    </mc:Choice>
  </mc:AlternateContent>
  <xr:revisionPtr revIDLastSave="0" documentId="13_ncr:1_{4100F511-A0E5-4288-A620-EEBF287FF0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요약" sheetId="1" r:id="rId1"/>
    <sheet name="개편안 설명" sheetId="2" r:id="rId2"/>
    <sheet name="개편 요약" sheetId="3" r:id="rId3"/>
    <sheet name="설정" sheetId="4" r:id="rId4"/>
    <sheet name="스테이지별 골드" sheetId="5" r:id="rId5"/>
    <sheet name="허들 설계" sheetId="6" r:id="rId6"/>
    <sheet name="드랍 구성" sheetId="7" r:id="rId7"/>
    <sheet name="드랍 구성 (개편)" sheetId="8" r:id="rId8"/>
    <sheet name="공중 유닛 설정" sheetId="9" r:id="rId9"/>
    <sheet name="공중 유닛 목록" sheetId="10" r:id="rId10"/>
    <sheet name="공중 유닛 배치" sheetId="11" r:id="rId11"/>
    <sheet name="공중 유닛 드랍" sheetId="12" r:id="rId12"/>
    <sheet name="공중 유닛 설명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2" l="1"/>
  <c r="T3" i="12"/>
  <c r="S3" i="12"/>
  <c r="R3" i="12"/>
  <c r="Q3" i="12"/>
  <c r="P3" i="12"/>
  <c r="Q32" i="11"/>
  <c r="P32" i="11"/>
  <c r="O32" i="11"/>
  <c r="K32" i="11"/>
  <c r="J32" i="11"/>
  <c r="I32" i="11"/>
  <c r="F32" i="11"/>
  <c r="D32" i="11"/>
  <c r="C32" i="11"/>
  <c r="B32" i="11"/>
  <c r="A32" i="11"/>
  <c r="Q31" i="11"/>
  <c r="P31" i="11"/>
  <c r="O31" i="11"/>
  <c r="K31" i="11"/>
  <c r="J31" i="11"/>
  <c r="I31" i="11"/>
  <c r="F31" i="11"/>
  <c r="D31" i="11"/>
  <c r="C31" i="11"/>
  <c r="B31" i="11"/>
  <c r="A31" i="11"/>
  <c r="Q30" i="11"/>
  <c r="P30" i="11"/>
  <c r="O30" i="11"/>
  <c r="K30" i="11"/>
  <c r="J30" i="11"/>
  <c r="I30" i="11"/>
  <c r="F30" i="11"/>
  <c r="D30" i="11"/>
  <c r="C30" i="11"/>
  <c r="B30" i="11"/>
  <c r="A30" i="11"/>
  <c r="Q29" i="11"/>
  <c r="P29" i="11"/>
  <c r="O29" i="11"/>
  <c r="K29" i="11"/>
  <c r="J29" i="11"/>
  <c r="I29" i="11"/>
  <c r="F29" i="11"/>
  <c r="D29" i="11"/>
  <c r="C29" i="11"/>
  <c r="B29" i="11"/>
  <c r="A29" i="11"/>
  <c r="Q28" i="11"/>
  <c r="P28" i="11"/>
  <c r="O28" i="11"/>
  <c r="K28" i="11"/>
  <c r="J28" i="11"/>
  <c r="I28" i="11"/>
  <c r="F28" i="11"/>
  <c r="D28" i="11"/>
  <c r="C28" i="11"/>
  <c r="B28" i="11"/>
  <c r="A28" i="11"/>
  <c r="Q27" i="11"/>
  <c r="P27" i="11"/>
  <c r="O27" i="11"/>
  <c r="K27" i="11"/>
  <c r="J27" i="11"/>
  <c r="I27" i="11"/>
  <c r="F27" i="11"/>
  <c r="D27" i="11"/>
  <c r="C27" i="11"/>
  <c r="B27" i="11"/>
  <c r="A27" i="11"/>
  <c r="Q26" i="11"/>
  <c r="P26" i="11"/>
  <c r="O26" i="11"/>
  <c r="K26" i="11"/>
  <c r="J26" i="11"/>
  <c r="I26" i="11"/>
  <c r="F26" i="11"/>
  <c r="D26" i="11"/>
  <c r="C26" i="11"/>
  <c r="B26" i="11"/>
  <c r="A26" i="11"/>
  <c r="Q25" i="11"/>
  <c r="P25" i="11"/>
  <c r="O25" i="11"/>
  <c r="K25" i="11"/>
  <c r="J25" i="11"/>
  <c r="I25" i="11"/>
  <c r="F25" i="11"/>
  <c r="D25" i="11"/>
  <c r="C25" i="11"/>
  <c r="B25" i="11"/>
  <c r="A25" i="11"/>
  <c r="Q24" i="11"/>
  <c r="P24" i="11"/>
  <c r="O24" i="11"/>
  <c r="K24" i="11"/>
  <c r="J24" i="11"/>
  <c r="I24" i="11"/>
  <c r="F24" i="11"/>
  <c r="D24" i="11"/>
  <c r="C24" i="11"/>
  <c r="B24" i="11"/>
  <c r="A24" i="11"/>
  <c r="Q23" i="11"/>
  <c r="P23" i="11"/>
  <c r="O23" i="11"/>
  <c r="K23" i="11"/>
  <c r="J23" i="11"/>
  <c r="I23" i="11"/>
  <c r="F23" i="11"/>
  <c r="D23" i="11"/>
  <c r="C23" i="11"/>
  <c r="B23" i="11"/>
  <c r="A23" i="11"/>
  <c r="Q22" i="11"/>
  <c r="P22" i="11"/>
  <c r="O22" i="11"/>
  <c r="K22" i="11"/>
  <c r="J22" i="11"/>
  <c r="I22" i="11"/>
  <c r="F22" i="11"/>
  <c r="D22" i="11"/>
  <c r="C22" i="11"/>
  <c r="B22" i="11"/>
  <c r="A22" i="11"/>
  <c r="Q21" i="11"/>
  <c r="P21" i="11"/>
  <c r="O21" i="11"/>
  <c r="K21" i="11"/>
  <c r="J21" i="11"/>
  <c r="I21" i="11"/>
  <c r="F21" i="11"/>
  <c r="D21" i="11"/>
  <c r="C21" i="11"/>
  <c r="B21" i="11"/>
  <c r="A21" i="11"/>
  <c r="Q20" i="11"/>
  <c r="P20" i="11"/>
  <c r="O20" i="11"/>
  <c r="K20" i="11"/>
  <c r="J20" i="11"/>
  <c r="I20" i="11"/>
  <c r="F20" i="11"/>
  <c r="D20" i="11"/>
  <c r="C20" i="11"/>
  <c r="B20" i="11"/>
  <c r="A20" i="11"/>
  <c r="Q19" i="11"/>
  <c r="P19" i="11"/>
  <c r="O19" i="11"/>
  <c r="K19" i="11"/>
  <c r="J19" i="11"/>
  <c r="I19" i="11"/>
  <c r="F19" i="11"/>
  <c r="D19" i="11"/>
  <c r="C19" i="11"/>
  <c r="B19" i="11"/>
  <c r="A19" i="11"/>
  <c r="Q18" i="11"/>
  <c r="P18" i="11"/>
  <c r="O18" i="11"/>
  <c r="K18" i="11"/>
  <c r="J18" i="11"/>
  <c r="I18" i="11"/>
  <c r="F18" i="11"/>
  <c r="D18" i="11"/>
  <c r="C18" i="11"/>
  <c r="B18" i="11"/>
  <c r="A18" i="11"/>
  <c r="Q17" i="11"/>
  <c r="P17" i="11"/>
  <c r="O17" i="11"/>
  <c r="K17" i="11"/>
  <c r="J17" i="11"/>
  <c r="I17" i="11"/>
  <c r="F17" i="11"/>
  <c r="D17" i="11"/>
  <c r="C17" i="11"/>
  <c r="B17" i="11"/>
  <c r="A17" i="11"/>
  <c r="Q16" i="11"/>
  <c r="P16" i="11"/>
  <c r="O16" i="11"/>
  <c r="K16" i="11"/>
  <c r="J16" i="11"/>
  <c r="I16" i="11"/>
  <c r="F16" i="11"/>
  <c r="D16" i="11"/>
  <c r="C16" i="12" s="1"/>
  <c r="C16" i="11"/>
  <c r="B16" i="11"/>
  <c r="A16" i="11"/>
  <c r="Q15" i="11"/>
  <c r="P15" i="11"/>
  <c r="O15" i="11"/>
  <c r="K15" i="11"/>
  <c r="J15" i="11"/>
  <c r="I15" i="11"/>
  <c r="F15" i="11"/>
  <c r="D15" i="11"/>
  <c r="C15" i="11"/>
  <c r="B15" i="11"/>
  <c r="A15" i="11"/>
  <c r="Q14" i="11"/>
  <c r="P14" i="11"/>
  <c r="O14" i="11"/>
  <c r="K14" i="11"/>
  <c r="J14" i="11"/>
  <c r="I14" i="11"/>
  <c r="F14" i="11"/>
  <c r="D14" i="11"/>
  <c r="C14" i="11"/>
  <c r="B14" i="11"/>
  <c r="A14" i="11"/>
  <c r="Q13" i="11"/>
  <c r="P13" i="11"/>
  <c r="O13" i="11"/>
  <c r="K13" i="11"/>
  <c r="J13" i="11"/>
  <c r="I13" i="11"/>
  <c r="F13" i="11"/>
  <c r="D13" i="11"/>
  <c r="C13" i="11"/>
  <c r="B13" i="11"/>
  <c r="A13" i="11"/>
  <c r="Q12" i="11"/>
  <c r="P12" i="11"/>
  <c r="O12" i="11"/>
  <c r="K12" i="11"/>
  <c r="J12" i="11"/>
  <c r="I12" i="11"/>
  <c r="F12" i="11"/>
  <c r="D12" i="11"/>
  <c r="C12" i="11"/>
  <c r="B12" i="11"/>
  <c r="A12" i="11"/>
  <c r="Q11" i="11"/>
  <c r="P11" i="11"/>
  <c r="O11" i="11"/>
  <c r="K11" i="11"/>
  <c r="J11" i="11"/>
  <c r="I11" i="11"/>
  <c r="F11" i="11"/>
  <c r="D11" i="11"/>
  <c r="C11" i="11"/>
  <c r="B11" i="11"/>
  <c r="A11" i="11"/>
  <c r="Q10" i="11"/>
  <c r="P10" i="11"/>
  <c r="O10" i="11"/>
  <c r="K10" i="11"/>
  <c r="J10" i="11"/>
  <c r="I10" i="11"/>
  <c r="F10" i="11"/>
  <c r="D10" i="11"/>
  <c r="C38" i="12" s="1"/>
  <c r="C10" i="11"/>
  <c r="B10" i="11"/>
  <c r="A10" i="11"/>
  <c r="Q9" i="11"/>
  <c r="P9" i="11"/>
  <c r="O9" i="11"/>
  <c r="K9" i="11"/>
  <c r="J9" i="11"/>
  <c r="I9" i="11"/>
  <c r="F9" i="11"/>
  <c r="D9" i="11"/>
  <c r="C9" i="11"/>
  <c r="B9" i="11"/>
  <c r="A9" i="11"/>
  <c r="Q8" i="11"/>
  <c r="P8" i="11"/>
  <c r="O8" i="11"/>
  <c r="K8" i="11"/>
  <c r="J8" i="11"/>
  <c r="I8" i="11"/>
  <c r="F8" i="11"/>
  <c r="D8" i="11"/>
  <c r="C8" i="11"/>
  <c r="B8" i="11"/>
  <c r="A8" i="11"/>
  <c r="Q7" i="11"/>
  <c r="P7" i="11"/>
  <c r="O7" i="11"/>
  <c r="K7" i="11"/>
  <c r="J7" i="11"/>
  <c r="I7" i="11"/>
  <c r="F7" i="11"/>
  <c r="D7" i="11"/>
  <c r="C7" i="11"/>
  <c r="B7" i="11"/>
  <c r="A7" i="11"/>
  <c r="Q6" i="11"/>
  <c r="P6" i="11"/>
  <c r="O6" i="11"/>
  <c r="K6" i="11"/>
  <c r="J6" i="11"/>
  <c r="I6" i="11"/>
  <c r="F6" i="11"/>
  <c r="D6" i="11"/>
  <c r="C6" i="11"/>
  <c r="B6" i="11"/>
  <c r="A6" i="11"/>
  <c r="Q5" i="11"/>
  <c r="P5" i="11"/>
  <c r="O5" i="11"/>
  <c r="K5" i="11"/>
  <c r="J5" i="11"/>
  <c r="I5" i="11"/>
  <c r="F5" i="11"/>
  <c r="D5" i="11"/>
  <c r="C5" i="11"/>
  <c r="B5" i="11"/>
  <c r="A5" i="11"/>
  <c r="F102" i="8"/>
  <c r="B102" i="8"/>
  <c r="F101" i="8"/>
  <c r="B101" i="8"/>
  <c r="F100" i="8"/>
  <c r="B100" i="8"/>
  <c r="F99" i="8"/>
  <c r="B99" i="8"/>
  <c r="F98" i="8"/>
  <c r="B98" i="8"/>
  <c r="F97" i="8"/>
  <c r="B97" i="8"/>
  <c r="F96" i="8"/>
  <c r="B96" i="8"/>
  <c r="F95" i="8"/>
  <c r="B95" i="8"/>
  <c r="F94" i="8"/>
  <c r="B94" i="8"/>
  <c r="F93" i="8"/>
  <c r="B93" i="8"/>
  <c r="F92" i="8"/>
  <c r="B92" i="8"/>
  <c r="F91" i="8"/>
  <c r="B91" i="8"/>
  <c r="F90" i="8"/>
  <c r="B90" i="8"/>
  <c r="F89" i="8"/>
  <c r="B89" i="8"/>
  <c r="C89" i="8" s="1"/>
  <c r="F88" i="8"/>
  <c r="B88" i="8"/>
  <c r="F87" i="8"/>
  <c r="B87" i="8"/>
  <c r="F86" i="8"/>
  <c r="B86" i="8"/>
  <c r="F85" i="8"/>
  <c r="B85" i="8"/>
  <c r="F84" i="8"/>
  <c r="B84" i="8"/>
  <c r="F83" i="8"/>
  <c r="B83" i="8"/>
  <c r="F82" i="8"/>
  <c r="B82" i="8"/>
  <c r="F81" i="8"/>
  <c r="B81" i="8"/>
  <c r="F80" i="8"/>
  <c r="B80" i="8"/>
  <c r="F79" i="8"/>
  <c r="B79" i="8"/>
  <c r="F78" i="8"/>
  <c r="B78" i="8"/>
  <c r="F77" i="8"/>
  <c r="B77" i="8"/>
  <c r="F76" i="8"/>
  <c r="B76" i="8"/>
  <c r="AA75" i="8"/>
  <c r="F75" i="8"/>
  <c r="B75" i="8"/>
  <c r="F74" i="8"/>
  <c r="B74" i="8"/>
  <c r="F73" i="8"/>
  <c r="B73" i="8"/>
  <c r="F72" i="8"/>
  <c r="B72" i="8"/>
  <c r="C72" i="8" s="1"/>
  <c r="F71" i="8"/>
  <c r="B71" i="8"/>
  <c r="F70" i="8"/>
  <c r="B70" i="8"/>
  <c r="F69" i="8"/>
  <c r="B69" i="8"/>
  <c r="F68" i="8"/>
  <c r="B68" i="8"/>
  <c r="F67" i="8"/>
  <c r="B67" i="8"/>
  <c r="F66" i="8"/>
  <c r="B66" i="8"/>
  <c r="F65" i="8"/>
  <c r="B65" i="8"/>
  <c r="F64" i="8"/>
  <c r="B64" i="8"/>
  <c r="F63" i="8"/>
  <c r="B63" i="8"/>
  <c r="F62" i="8"/>
  <c r="B62" i="8"/>
  <c r="AA61" i="8"/>
  <c r="F61" i="8"/>
  <c r="B61" i="8"/>
  <c r="F60" i="8"/>
  <c r="B60" i="8"/>
  <c r="F59" i="8"/>
  <c r="B59" i="8"/>
  <c r="F58" i="8"/>
  <c r="B58" i="8"/>
  <c r="F57" i="8"/>
  <c r="B57" i="8"/>
  <c r="F56" i="8"/>
  <c r="B56" i="8"/>
  <c r="F55" i="8"/>
  <c r="B55" i="8"/>
  <c r="C55" i="8" s="1"/>
  <c r="F54" i="8"/>
  <c r="B54" i="8"/>
  <c r="F53" i="8"/>
  <c r="B53" i="8"/>
  <c r="F52" i="8"/>
  <c r="B52" i="8"/>
  <c r="F51" i="8"/>
  <c r="B51" i="8"/>
  <c r="F50" i="8"/>
  <c r="B50" i="8"/>
  <c r="F49" i="8"/>
  <c r="B49" i="8"/>
  <c r="F48" i="8"/>
  <c r="B48" i="8"/>
  <c r="F47" i="8"/>
  <c r="B47" i="8"/>
  <c r="F46" i="8"/>
  <c r="B46" i="8"/>
  <c r="F45" i="8"/>
  <c r="B45" i="8"/>
  <c r="F44" i="8"/>
  <c r="B44" i="8"/>
  <c r="F43" i="8"/>
  <c r="B43" i="8"/>
  <c r="F42" i="8"/>
  <c r="B42" i="8"/>
  <c r="F41" i="8"/>
  <c r="B41" i="8"/>
  <c r="F40" i="8"/>
  <c r="B40" i="8"/>
  <c r="F39" i="8"/>
  <c r="B39" i="8"/>
  <c r="F38" i="8"/>
  <c r="B38" i="8"/>
  <c r="C38" i="8" s="1"/>
  <c r="F37" i="8"/>
  <c r="B37" i="8"/>
  <c r="F36" i="8"/>
  <c r="B36" i="8"/>
  <c r="F35" i="8"/>
  <c r="B35" i="8"/>
  <c r="F34" i="8"/>
  <c r="B34" i="8"/>
  <c r="AA33" i="8"/>
  <c r="F33" i="8"/>
  <c r="B33" i="8"/>
  <c r="F32" i="8"/>
  <c r="B32" i="8"/>
  <c r="F31" i="8"/>
  <c r="B31" i="8"/>
  <c r="F30" i="8"/>
  <c r="B30" i="8"/>
  <c r="F29" i="8"/>
  <c r="B29" i="8"/>
  <c r="F28" i="8"/>
  <c r="B28" i="8"/>
  <c r="F27" i="8"/>
  <c r="B27" i="8"/>
  <c r="F26" i="8"/>
  <c r="B26" i="8"/>
  <c r="F25" i="8"/>
  <c r="B25" i="8"/>
  <c r="F24" i="8"/>
  <c r="B24" i="8"/>
  <c r="F23" i="8"/>
  <c r="B23" i="8"/>
  <c r="F22" i="8"/>
  <c r="B22" i="8"/>
  <c r="C22" i="8" s="1"/>
  <c r="F21" i="8"/>
  <c r="B21" i="8"/>
  <c r="F20" i="8"/>
  <c r="B20" i="8"/>
  <c r="F19" i="8"/>
  <c r="B19" i="8"/>
  <c r="F18" i="8"/>
  <c r="B18" i="8"/>
  <c r="F17" i="8"/>
  <c r="B17" i="8"/>
  <c r="F16" i="8"/>
  <c r="B16" i="8"/>
  <c r="F15" i="8"/>
  <c r="B15" i="8"/>
  <c r="F14" i="8"/>
  <c r="B14" i="8"/>
  <c r="F13" i="8"/>
  <c r="B13" i="8"/>
  <c r="F12" i="8"/>
  <c r="B12" i="8"/>
  <c r="F11" i="8"/>
  <c r="B11" i="8"/>
  <c r="F10" i="8"/>
  <c r="B10" i="8"/>
  <c r="F9" i="8"/>
  <c r="B9" i="8"/>
  <c r="F8" i="8"/>
  <c r="B8" i="8"/>
  <c r="F7" i="8"/>
  <c r="B7" i="8"/>
  <c r="F6" i="8"/>
  <c r="B6" i="8"/>
  <c r="AA5" i="8"/>
  <c r="F5" i="8"/>
  <c r="B5" i="8"/>
  <c r="C5" i="8" s="1"/>
  <c r="U3" i="8"/>
  <c r="T3" i="8"/>
  <c r="S3" i="8"/>
  <c r="R3" i="8"/>
  <c r="Q3" i="8"/>
  <c r="P3" i="8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J3" i="7"/>
  <c r="I3" i="7"/>
  <c r="H3" i="7"/>
  <c r="G3" i="7"/>
  <c r="F3" i="7"/>
  <c r="E3" i="7"/>
  <c r="L32" i="6"/>
  <c r="M32" i="6" s="1"/>
  <c r="J32" i="6"/>
  <c r="K32" i="6" s="1"/>
  <c r="H32" i="6"/>
  <c r="I32" i="6" s="1"/>
  <c r="D32" i="6"/>
  <c r="C32" i="6"/>
  <c r="B32" i="6"/>
  <c r="A32" i="6"/>
  <c r="L31" i="6"/>
  <c r="M31" i="6" s="1"/>
  <c r="J31" i="6"/>
  <c r="K31" i="6" s="1"/>
  <c r="H31" i="6"/>
  <c r="I31" i="6" s="1"/>
  <c r="D31" i="6"/>
  <c r="C31" i="6"/>
  <c r="B31" i="6"/>
  <c r="A31" i="6"/>
  <c r="L30" i="6"/>
  <c r="M30" i="6" s="1"/>
  <c r="J30" i="6"/>
  <c r="K30" i="6" s="1"/>
  <c r="H30" i="6"/>
  <c r="I30" i="6" s="1"/>
  <c r="D30" i="6"/>
  <c r="C30" i="6"/>
  <c r="B30" i="6"/>
  <c r="A30" i="6"/>
  <c r="L29" i="6"/>
  <c r="M29" i="6" s="1"/>
  <c r="J29" i="6"/>
  <c r="K29" i="6" s="1"/>
  <c r="H29" i="6"/>
  <c r="I29" i="6" s="1"/>
  <c r="D29" i="6"/>
  <c r="C29" i="6"/>
  <c r="B29" i="6"/>
  <c r="A29" i="6"/>
  <c r="L28" i="6"/>
  <c r="M28" i="6" s="1"/>
  <c r="J28" i="6"/>
  <c r="K28" i="6" s="1"/>
  <c r="H28" i="6"/>
  <c r="I28" i="6" s="1"/>
  <c r="D28" i="6"/>
  <c r="C28" i="6"/>
  <c r="B28" i="6"/>
  <c r="A28" i="6"/>
  <c r="L27" i="6"/>
  <c r="M27" i="6" s="1"/>
  <c r="J27" i="6"/>
  <c r="K27" i="6" s="1"/>
  <c r="H27" i="6"/>
  <c r="I27" i="6" s="1"/>
  <c r="D27" i="6"/>
  <c r="C27" i="6"/>
  <c r="B27" i="6"/>
  <c r="A27" i="6"/>
  <c r="L26" i="6"/>
  <c r="M26" i="6" s="1"/>
  <c r="J26" i="6"/>
  <c r="K26" i="6" s="1"/>
  <c r="H26" i="6"/>
  <c r="I26" i="6" s="1"/>
  <c r="D26" i="6"/>
  <c r="C26" i="6"/>
  <c r="B26" i="6"/>
  <c r="A26" i="6"/>
  <c r="L25" i="6"/>
  <c r="M25" i="6" s="1"/>
  <c r="J25" i="6"/>
  <c r="K25" i="6" s="1"/>
  <c r="H25" i="6"/>
  <c r="I25" i="6" s="1"/>
  <c r="D25" i="6"/>
  <c r="C25" i="6"/>
  <c r="B25" i="6"/>
  <c r="A25" i="6"/>
  <c r="L24" i="6"/>
  <c r="M24" i="6" s="1"/>
  <c r="J24" i="6"/>
  <c r="K24" i="6" s="1"/>
  <c r="H24" i="6"/>
  <c r="I24" i="6" s="1"/>
  <c r="D24" i="6"/>
  <c r="C24" i="6"/>
  <c r="B24" i="6"/>
  <c r="A24" i="6"/>
  <c r="L23" i="6"/>
  <c r="M23" i="6" s="1"/>
  <c r="J23" i="6"/>
  <c r="K23" i="6" s="1"/>
  <c r="H23" i="6"/>
  <c r="I23" i="6" s="1"/>
  <c r="D23" i="6"/>
  <c r="C23" i="6"/>
  <c r="B23" i="6"/>
  <c r="A23" i="6"/>
  <c r="L22" i="6"/>
  <c r="M22" i="6" s="1"/>
  <c r="J22" i="6"/>
  <c r="K22" i="6" s="1"/>
  <c r="H22" i="6"/>
  <c r="I22" i="6" s="1"/>
  <c r="D22" i="6"/>
  <c r="C22" i="6"/>
  <c r="B22" i="6"/>
  <c r="A22" i="6"/>
  <c r="L21" i="6"/>
  <c r="M21" i="6" s="1"/>
  <c r="J21" i="6"/>
  <c r="K21" i="6" s="1"/>
  <c r="H21" i="6"/>
  <c r="I21" i="6" s="1"/>
  <c r="D21" i="6"/>
  <c r="C21" i="6"/>
  <c r="B21" i="6"/>
  <c r="A21" i="6"/>
  <c r="L20" i="6"/>
  <c r="M20" i="6" s="1"/>
  <c r="J20" i="6"/>
  <c r="K20" i="6" s="1"/>
  <c r="H20" i="6"/>
  <c r="I20" i="6" s="1"/>
  <c r="D20" i="6"/>
  <c r="C20" i="6"/>
  <c r="B20" i="6"/>
  <c r="A20" i="6"/>
  <c r="L19" i="6"/>
  <c r="M19" i="6" s="1"/>
  <c r="J19" i="6"/>
  <c r="K19" i="6" s="1"/>
  <c r="H19" i="6"/>
  <c r="I19" i="6" s="1"/>
  <c r="D19" i="6"/>
  <c r="C19" i="6"/>
  <c r="B19" i="6"/>
  <c r="A19" i="6"/>
  <c r="L18" i="6"/>
  <c r="M18" i="6" s="1"/>
  <c r="J18" i="6"/>
  <c r="K18" i="6" s="1"/>
  <c r="H18" i="6"/>
  <c r="I18" i="6" s="1"/>
  <c r="D18" i="6"/>
  <c r="C18" i="6"/>
  <c r="B18" i="6"/>
  <c r="A18" i="6"/>
  <c r="L17" i="6"/>
  <c r="M17" i="6" s="1"/>
  <c r="J17" i="6"/>
  <c r="K17" i="6" s="1"/>
  <c r="H17" i="6"/>
  <c r="I17" i="6" s="1"/>
  <c r="D17" i="6"/>
  <c r="C17" i="6"/>
  <c r="B17" i="6"/>
  <c r="A17" i="6"/>
  <c r="L16" i="6"/>
  <c r="M16" i="6" s="1"/>
  <c r="J16" i="6"/>
  <c r="K16" i="6" s="1"/>
  <c r="H16" i="6"/>
  <c r="I16" i="6" s="1"/>
  <c r="D16" i="6"/>
  <c r="C16" i="6"/>
  <c r="B16" i="6"/>
  <c r="A16" i="6"/>
  <c r="L15" i="6"/>
  <c r="M15" i="6" s="1"/>
  <c r="J15" i="6"/>
  <c r="K15" i="6" s="1"/>
  <c r="H15" i="6"/>
  <c r="I15" i="6" s="1"/>
  <c r="D15" i="6"/>
  <c r="C15" i="6"/>
  <c r="B15" i="6"/>
  <c r="A15" i="6"/>
  <c r="L14" i="6"/>
  <c r="M14" i="6" s="1"/>
  <c r="J14" i="6"/>
  <c r="K14" i="6" s="1"/>
  <c r="H14" i="6"/>
  <c r="I14" i="6" s="1"/>
  <c r="D14" i="6"/>
  <c r="C14" i="6"/>
  <c r="B14" i="6"/>
  <c r="A14" i="6"/>
  <c r="L13" i="6"/>
  <c r="M13" i="6" s="1"/>
  <c r="J13" i="6"/>
  <c r="K13" i="6" s="1"/>
  <c r="H13" i="6"/>
  <c r="I13" i="6" s="1"/>
  <c r="D13" i="6"/>
  <c r="C13" i="6"/>
  <c r="B13" i="6"/>
  <c r="A13" i="6"/>
  <c r="L12" i="6"/>
  <c r="M12" i="6" s="1"/>
  <c r="J12" i="6"/>
  <c r="K12" i="6" s="1"/>
  <c r="H12" i="6"/>
  <c r="I12" i="6" s="1"/>
  <c r="D12" i="6"/>
  <c r="C12" i="6"/>
  <c r="B12" i="6"/>
  <c r="A12" i="6"/>
  <c r="L11" i="6"/>
  <c r="M11" i="6" s="1"/>
  <c r="J11" i="6"/>
  <c r="K11" i="6" s="1"/>
  <c r="H11" i="6"/>
  <c r="I11" i="6" s="1"/>
  <c r="D11" i="6"/>
  <c r="C11" i="6"/>
  <c r="B11" i="6"/>
  <c r="A11" i="6"/>
  <c r="L10" i="6"/>
  <c r="M10" i="6" s="1"/>
  <c r="J10" i="6"/>
  <c r="K10" i="6" s="1"/>
  <c r="H10" i="6"/>
  <c r="I10" i="6" s="1"/>
  <c r="D10" i="6"/>
  <c r="C10" i="6"/>
  <c r="B10" i="6"/>
  <c r="A10" i="6"/>
  <c r="L9" i="6"/>
  <c r="M9" i="6" s="1"/>
  <c r="J9" i="6"/>
  <c r="K9" i="6" s="1"/>
  <c r="H9" i="6"/>
  <c r="I9" i="6" s="1"/>
  <c r="D9" i="6"/>
  <c r="C9" i="6"/>
  <c r="B9" i="6"/>
  <c r="A9" i="6"/>
  <c r="L8" i="6"/>
  <c r="M8" i="6" s="1"/>
  <c r="J8" i="6"/>
  <c r="K8" i="6" s="1"/>
  <c r="H8" i="6"/>
  <c r="I8" i="6" s="1"/>
  <c r="D8" i="6"/>
  <c r="C8" i="6"/>
  <c r="B8" i="6"/>
  <c r="A8" i="6"/>
  <c r="L7" i="6"/>
  <c r="M7" i="6" s="1"/>
  <c r="J7" i="6"/>
  <c r="K7" i="6" s="1"/>
  <c r="H7" i="6"/>
  <c r="I7" i="6" s="1"/>
  <c r="D7" i="6"/>
  <c r="C7" i="6"/>
  <c r="B7" i="6"/>
  <c r="A7" i="6"/>
  <c r="L6" i="6"/>
  <c r="M6" i="6" s="1"/>
  <c r="J6" i="6"/>
  <c r="K6" i="6" s="1"/>
  <c r="H6" i="6"/>
  <c r="I6" i="6" s="1"/>
  <c r="D6" i="6"/>
  <c r="C6" i="6"/>
  <c r="B6" i="6"/>
  <c r="A6" i="6"/>
  <c r="L5" i="6"/>
  <c r="M5" i="6" s="1"/>
  <c r="J5" i="6"/>
  <c r="K5" i="6" s="1"/>
  <c r="H5" i="6"/>
  <c r="I5" i="6" s="1"/>
  <c r="D5" i="6"/>
  <c r="E5" i="6" s="1"/>
  <c r="G5" i="6" s="1"/>
  <c r="C5" i="6"/>
  <c r="B5" i="6"/>
  <c r="A5" i="6"/>
  <c r="N33" i="5"/>
  <c r="F33" i="5"/>
  <c r="E33" i="5"/>
  <c r="D33" i="5"/>
  <c r="P32" i="5"/>
  <c r="L32" i="5"/>
  <c r="B18" i="1" s="1"/>
  <c r="K32" i="5"/>
  <c r="J32" i="5"/>
  <c r="P31" i="5"/>
  <c r="L31" i="5"/>
  <c r="K31" i="5"/>
  <c r="J31" i="5"/>
  <c r="P30" i="5"/>
  <c r="L30" i="5"/>
  <c r="K30" i="5"/>
  <c r="J30" i="5"/>
  <c r="P29" i="5"/>
  <c r="L29" i="5"/>
  <c r="K29" i="5"/>
  <c r="J29" i="5"/>
  <c r="P28" i="5"/>
  <c r="L28" i="5"/>
  <c r="K28" i="5"/>
  <c r="J28" i="5"/>
  <c r="P27" i="5"/>
  <c r="L27" i="5"/>
  <c r="K27" i="5"/>
  <c r="J27" i="5"/>
  <c r="P26" i="5"/>
  <c r="L26" i="5"/>
  <c r="K26" i="5"/>
  <c r="J26" i="5"/>
  <c r="P25" i="5"/>
  <c r="L25" i="5"/>
  <c r="K25" i="5"/>
  <c r="J25" i="5"/>
  <c r="P24" i="5"/>
  <c r="L24" i="5"/>
  <c r="K24" i="5"/>
  <c r="J24" i="5"/>
  <c r="P23" i="5"/>
  <c r="L23" i="5"/>
  <c r="K23" i="5"/>
  <c r="J23" i="5"/>
  <c r="P22" i="5"/>
  <c r="L22" i="5"/>
  <c r="K22" i="5"/>
  <c r="J22" i="5"/>
  <c r="P21" i="5"/>
  <c r="L21" i="5"/>
  <c r="K21" i="5"/>
  <c r="J21" i="5"/>
  <c r="P20" i="5"/>
  <c r="L20" i="5"/>
  <c r="K20" i="5"/>
  <c r="J20" i="5"/>
  <c r="C57" i="7" s="1"/>
  <c r="P19" i="5"/>
  <c r="C56" i="7" s="1"/>
  <c r="L19" i="5"/>
  <c r="K19" i="5"/>
  <c r="J19" i="5"/>
  <c r="C54" i="7" s="1"/>
  <c r="P18" i="5"/>
  <c r="C53" i="7" s="1"/>
  <c r="L18" i="5"/>
  <c r="K18" i="5"/>
  <c r="J18" i="5"/>
  <c r="C50" i="7" s="1"/>
  <c r="P17" i="5"/>
  <c r="C49" i="7" s="1"/>
  <c r="L17" i="5"/>
  <c r="K17" i="5"/>
  <c r="J17" i="5"/>
  <c r="C47" i="7" s="1"/>
  <c r="P16" i="5"/>
  <c r="C46" i="7" s="1"/>
  <c r="L16" i="5"/>
  <c r="K16" i="5"/>
  <c r="J16" i="5"/>
  <c r="C43" i="7" s="1"/>
  <c r="P15" i="5"/>
  <c r="C42" i="7" s="1"/>
  <c r="L15" i="5"/>
  <c r="K15" i="5"/>
  <c r="J15" i="5"/>
  <c r="C40" i="7" s="1"/>
  <c r="P14" i="5"/>
  <c r="C39" i="7" s="1"/>
  <c r="L14" i="5"/>
  <c r="K14" i="5"/>
  <c r="J14" i="5"/>
  <c r="C36" i="7" s="1"/>
  <c r="P13" i="5"/>
  <c r="C35" i="7" s="1"/>
  <c r="L13" i="5"/>
  <c r="K13" i="5"/>
  <c r="J13" i="5"/>
  <c r="C33" i="7" s="1"/>
  <c r="P12" i="5"/>
  <c r="C32" i="7" s="1"/>
  <c r="L12" i="5"/>
  <c r="K12" i="5"/>
  <c r="J12" i="5"/>
  <c r="C29" i="7" s="1"/>
  <c r="P11" i="5"/>
  <c r="C28" i="7" s="1"/>
  <c r="L11" i="5"/>
  <c r="K11" i="5"/>
  <c r="J11" i="5"/>
  <c r="C26" i="7" s="1"/>
  <c r="P10" i="5"/>
  <c r="C25" i="7" s="1"/>
  <c r="L10" i="5"/>
  <c r="K10" i="5"/>
  <c r="J10" i="5"/>
  <c r="C22" i="7" s="1"/>
  <c r="P9" i="5"/>
  <c r="L9" i="5"/>
  <c r="K9" i="5"/>
  <c r="J9" i="5"/>
  <c r="P8" i="5"/>
  <c r="L8" i="5"/>
  <c r="K8" i="5"/>
  <c r="J8" i="5"/>
  <c r="P7" i="5"/>
  <c r="L7" i="5"/>
  <c r="K7" i="5"/>
  <c r="J7" i="5"/>
  <c r="P6" i="5"/>
  <c r="L6" i="5"/>
  <c r="K6" i="5"/>
  <c r="J6" i="5"/>
  <c r="P5" i="5"/>
  <c r="L5" i="5"/>
  <c r="K5" i="5"/>
  <c r="J5" i="5"/>
  <c r="C39" i="4"/>
  <c r="A39" i="4"/>
  <c r="C38" i="4"/>
  <c r="A38" i="4"/>
  <c r="C37" i="4"/>
  <c r="A37" i="4"/>
  <c r="C36" i="4"/>
  <c r="A36" i="4"/>
  <c r="C35" i="4"/>
  <c r="A35" i="4"/>
  <c r="C34" i="4"/>
  <c r="A34" i="4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L21" i="3"/>
  <c r="B21" i="3"/>
  <c r="A21" i="3"/>
  <c r="B17" i="1"/>
  <c r="N28" i="6" l="1"/>
  <c r="N15" i="6"/>
  <c r="N8" i="6"/>
  <c r="E23" i="11"/>
  <c r="C51" i="12"/>
  <c r="C23" i="12"/>
  <c r="N23" i="11"/>
  <c r="H23" i="11"/>
  <c r="B51" i="12"/>
  <c r="B23" i="12"/>
  <c r="G23" i="11"/>
  <c r="M23" i="11"/>
  <c r="C50" i="12"/>
  <c r="C22" i="12"/>
  <c r="B50" i="12"/>
  <c r="B22" i="12"/>
  <c r="C49" i="12"/>
  <c r="C21" i="12"/>
  <c r="B49" i="12"/>
  <c r="B21" i="12"/>
  <c r="C48" i="12"/>
  <c r="C20" i="12"/>
  <c r="B48" i="12"/>
  <c r="B20" i="12"/>
  <c r="C47" i="12"/>
  <c r="C19" i="12"/>
  <c r="B47" i="12"/>
  <c r="B19" i="12"/>
  <c r="C46" i="12"/>
  <c r="C18" i="12"/>
  <c r="B46" i="12"/>
  <c r="B18" i="12"/>
  <c r="C45" i="12"/>
  <c r="C17" i="12"/>
  <c r="B45" i="12"/>
  <c r="B17" i="12"/>
  <c r="B44" i="12"/>
  <c r="B16" i="12"/>
  <c r="C15" i="12"/>
  <c r="C43" i="12"/>
  <c r="B43" i="12"/>
  <c r="B15" i="12"/>
  <c r="C42" i="12"/>
  <c r="C14" i="12"/>
  <c r="B42" i="12"/>
  <c r="B14" i="12"/>
  <c r="C41" i="12"/>
  <c r="C13" i="12"/>
  <c r="B41" i="12"/>
  <c r="B13" i="12"/>
  <c r="C40" i="12"/>
  <c r="C12" i="12"/>
  <c r="B40" i="12"/>
  <c r="B12" i="12"/>
  <c r="C39" i="12"/>
  <c r="C11" i="12"/>
  <c r="B39" i="12"/>
  <c r="B11" i="12"/>
  <c r="B10" i="12"/>
  <c r="B38" i="12"/>
  <c r="C37" i="12"/>
  <c r="C9" i="12"/>
  <c r="B37" i="12"/>
  <c r="B9" i="12"/>
  <c r="C36" i="12"/>
  <c r="C8" i="12"/>
  <c r="B36" i="12"/>
  <c r="B8" i="12"/>
  <c r="C35" i="12"/>
  <c r="C7" i="12"/>
  <c r="B35" i="12"/>
  <c r="B7" i="12"/>
  <c r="C6" i="12"/>
  <c r="C34" i="12"/>
  <c r="B34" i="12"/>
  <c r="B6" i="12"/>
  <c r="C5" i="12"/>
  <c r="C33" i="12"/>
  <c r="B5" i="12"/>
  <c r="B33" i="12"/>
  <c r="R32" i="11"/>
  <c r="E60" i="12" s="1"/>
  <c r="L32" i="11"/>
  <c r="E32" i="12" s="1"/>
  <c r="L31" i="11"/>
  <c r="E31" i="12" s="1"/>
  <c r="R31" i="11"/>
  <c r="E59" i="12" s="1"/>
  <c r="R30" i="11"/>
  <c r="E58" i="12" s="1"/>
  <c r="L30" i="11"/>
  <c r="E30" i="12" s="1"/>
  <c r="R29" i="11"/>
  <c r="E57" i="12" s="1"/>
  <c r="L29" i="11"/>
  <c r="E29" i="12" s="1"/>
  <c r="R28" i="11"/>
  <c r="E56" i="12" s="1"/>
  <c r="L28" i="11"/>
  <c r="E28" i="12" s="1"/>
  <c r="L27" i="11"/>
  <c r="E27" i="12" s="1"/>
  <c r="R27" i="11"/>
  <c r="E55" i="12" s="1"/>
  <c r="L26" i="11"/>
  <c r="E26" i="12" s="1"/>
  <c r="R26" i="11"/>
  <c r="E54" i="12" s="1"/>
  <c r="R25" i="11"/>
  <c r="E53" i="12" s="1"/>
  <c r="L25" i="11"/>
  <c r="E25" i="12" s="1"/>
  <c r="R24" i="11"/>
  <c r="E52" i="12" s="1"/>
  <c r="L24" i="11"/>
  <c r="E24" i="12" s="1"/>
  <c r="L23" i="11"/>
  <c r="E23" i="12" s="1"/>
  <c r="R23" i="11"/>
  <c r="E51" i="12" s="1"/>
  <c r="E68" i="8"/>
  <c r="C59" i="7"/>
  <c r="E48" i="8"/>
  <c r="C58" i="7"/>
  <c r="E47" i="8"/>
  <c r="C55" i="7"/>
  <c r="E67" i="8"/>
  <c r="C52" i="7"/>
  <c r="E46" i="8"/>
  <c r="C51" i="7"/>
  <c r="E45" i="8"/>
  <c r="C48" i="7"/>
  <c r="E66" i="8"/>
  <c r="C45" i="7"/>
  <c r="E44" i="8"/>
  <c r="C44" i="7"/>
  <c r="E43" i="8"/>
  <c r="C41" i="7"/>
  <c r="D41" i="7" s="1"/>
  <c r="E65" i="8"/>
  <c r="C38" i="7"/>
  <c r="E42" i="8"/>
  <c r="C37" i="7"/>
  <c r="E41" i="8"/>
  <c r="C34" i="7"/>
  <c r="E64" i="8"/>
  <c r="C31" i="7"/>
  <c r="E40" i="8"/>
  <c r="C30" i="7"/>
  <c r="E39" i="8"/>
  <c r="C27" i="7"/>
  <c r="E63" i="8"/>
  <c r="C24" i="7"/>
  <c r="E38" i="8"/>
  <c r="C23" i="7"/>
  <c r="D38" i="12"/>
  <c r="I38" i="12"/>
  <c r="G38" i="12"/>
  <c r="D16" i="12"/>
  <c r="G16" i="12"/>
  <c r="I16" i="12"/>
  <c r="H32" i="11"/>
  <c r="C32" i="12"/>
  <c r="C60" i="12"/>
  <c r="N32" i="11"/>
  <c r="E32" i="11"/>
  <c r="B60" i="12"/>
  <c r="B32" i="12"/>
  <c r="M32" i="11"/>
  <c r="G32" i="11"/>
  <c r="C31" i="12"/>
  <c r="N31" i="11"/>
  <c r="E31" i="11"/>
  <c r="H31" i="11"/>
  <c r="C59" i="12"/>
  <c r="B31" i="12"/>
  <c r="B59" i="12"/>
  <c r="M31" i="11"/>
  <c r="G31" i="11"/>
  <c r="C58" i="12"/>
  <c r="H30" i="11"/>
  <c r="C30" i="12"/>
  <c r="N30" i="11"/>
  <c r="E30" i="11"/>
  <c r="B58" i="12"/>
  <c r="B30" i="12"/>
  <c r="M30" i="11"/>
  <c r="G30" i="11"/>
  <c r="C57" i="12"/>
  <c r="N29" i="11"/>
  <c r="H29" i="11"/>
  <c r="E29" i="11"/>
  <c r="C29" i="12"/>
  <c r="B57" i="12"/>
  <c r="B29" i="12"/>
  <c r="G29" i="11"/>
  <c r="M29" i="11"/>
  <c r="C56" i="12"/>
  <c r="E28" i="11"/>
  <c r="C28" i="12"/>
  <c r="H28" i="11"/>
  <c r="N28" i="11"/>
  <c r="B56" i="12"/>
  <c r="B28" i="12"/>
  <c r="G28" i="11"/>
  <c r="M28" i="11"/>
  <c r="C55" i="12"/>
  <c r="N27" i="11"/>
  <c r="E27" i="11"/>
  <c r="H27" i="11"/>
  <c r="C27" i="12"/>
  <c r="B27" i="12"/>
  <c r="B55" i="12"/>
  <c r="G27" i="11"/>
  <c r="M27" i="11"/>
  <c r="E26" i="11"/>
  <c r="H26" i="11"/>
  <c r="C54" i="12"/>
  <c r="N26" i="11"/>
  <c r="C26" i="12"/>
  <c r="B26" i="12"/>
  <c r="B54" i="12"/>
  <c r="M26" i="11"/>
  <c r="G26" i="11"/>
  <c r="H25" i="11"/>
  <c r="C53" i="12"/>
  <c r="C25" i="12"/>
  <c r="N25" i="11"/>
  <c r="E25" i="11"/>
  <c r="B25" i="12"/>
  <c r="B53" i="12"/>
  <c r="M25" i="11"/>
  <c r="G25" i="11"/>
  <c r="C24" i="12"/>
  <c r="C52" i="12"/>
  <c r="N24" i="11"/>
  <c r="E24" i="11"/>
  <c r="H24" i="11"/>
  <c r="B24" i="12"/>
  <c r="B52" i="12"/>
  <c r="G24" i="11"/>
  <c r="M24" i="11"/>
  <c r="H22" i="11"/>
  <c r="E22" i="11"/>
  <c r="N22" i="11"/>
  <c r="M22" i="11"/>
  <c r="G22" i="11"/>
  <c r="N21" i="11"/>
  <c r="H21" i="11"/>
  <c r="E21" i="11"/>
  <c r="M21" i="11"/>
  <c r="G21" i="11"/>
  <c r="N20" i="11"/>
  <c r="H20" i="11"/>
  <c r="E20" i="11"/>
  <c r="M20" i="11"/>
  <c r="G20" i="11"/>
  <c r="H19" i="11"/>
  <c r="E19" i="11"/>
  <c r="N19" i="11"/>
  <c r="G19" i="11"/>
  <c r="M19" i="11"/>
  <c r="H18" i="11"/>
  <c r="N18" i="11"/>
  <c r="E18" i="11"/>
  <c r="M18" i="11"/>
  <c r="G18" i="11"/>
  <c r="N17" i="11"/>
  <c r="E17" i="11"/>
  <c r="H17" i="11"/>
  <c r="G17" i="11"/>
  <c r="M17" i="11"/>
  <c r="N16" i="11"/>
  <c r="C44" i="12"/>
  <c r="E16" i="11"/>
  <c r="H16" i="11"/>
  <c r="M16" i="11"/>
  <c r="G16" i="11"/>
  <c r="E15" i="11"/>
  <c r="H15" i="11"/>
  <c r="N15" i="11"/>
  <c r="G15" i="11"/>
  <c r="M15" i="11"/>
  <c r="E14" i="11"/>
  <c r="H14" i="11"/>
  <c r="N14" i="11"/>
  <c r="G14" i="11"/>
  <c r="M14" i="11"/>
  <c r="H13" i="11"/>
  <c r="N13" i="11"/>
  <c r="E13" i="11"/>
  <c r="G13" i="11"/>
  <c r="M13" i="11"/>
  <c r="N12" i="11"/>
  <c r="H12" i="11"/>
  <c r="E12" i="11"/>
  <c r="M12" i="11"/>
  <c r="G12" i="11"/>
  <c r="N11" i="11"/>
  <c r="H11" i="11"/>
  <c r="E11" i="11"/>
  <c r="M11" i="11"/>
  <c r="G11" i="11"/>
  <c r="C10" i="12"/>
  <c r="N10" i="11"/>
  <c r="H10" i="11"/>
  <c r="E10" i="11"/>
  <c r="M10" i="11"/>
  <c r="G10" i="11"/>
  <c r="N9" i="11"/>
  <c r="E9" i="11"/>
  <c r="H9" i="11"/>
  <c r="M9" i="11"/>
  <c r="G9" i="11"/>
  <c r="N8" i="11"/>
  <c r="H8" i="11"/>
  <c r="E8" i="11"/>
  <c r="M8" i="11"/>
  <c r="G8" i="11"/>
  <c r="N7" i="11"/>
  <c r="H7" i="11"/>
  <c r="E7" i="11"/>
  <c r="M7" i="11"/>
  <c r="G7" i="11"/>
  <c r="N6" i="11"/>
  <c r="H6" i="11"/>
  <c r="E6" i="11"/>
  <c r="M6" i="11"/>
  <c r="G6" i="11"/>
  <c r="E5" i="11"/>
  <c r="N5" i="11"/>
  <c r="H5" i="11"/>
  <c r="G5" i="11"/>
  <c r="M5" i="11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D89" i="8"/>
  <c r="G89" i="8"/>
  <c r="H89" i="8" s="1"/>
  <c r="J89" i="8" s="1"/>
  <c r="I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D72" i="8"/>
  <c r="G72" i="8"/>
  <c r="I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D55" i="8"/>
  <c r="G55" i="8"/>
  <c r="H55" i="8" s="1"/>
  <c r="I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D38" i="8"/>
  <c r="G38" i="8"/>
  <c r="H38" i="8" s="1"/>
  <c r="I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D22" i="8"/>
  <c r="G22" i="8"/>
  <c r="H22" i="8" s="1"/>
  <c r="I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D5" i="8"/>
  <c r="G5" i="8" s="1"/>
  <c r="H5" i="8" s="1"/>
  <c r="I5" i="8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E41" i="7"/>
  <c r="F41" i="7"/>
  <c r="H41" i="7" s="1"/>
  <c r="I41" i="7" s="1"/>
  <c r="G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R32" i="6"/>
  <c r="L48" i="3" s="1"/>
  <c r="E32" i="6"/>
  <c r="G32" i="6" s="1"/>
  <c r="R31" i="6"/>
  <c r="L47" i="3" s="1"/>
  <c r="E31" i="6"/>
  <c r="G31" i="6" s="1"/>
  <c r="E30" i="6"/>
  <c r="G30" i="6" s="1"/>
  <c r="R30" i="6"/>
  <c r="L46" i="3" s="1"/>
  <c r="R29" i="6"/>
  <c r="L45" i="3" s="1"/>
  <c r="E29" i="6"/>
  <c r="G29" i="6" s="1"/>
  <c r="E28" i="6"/>
  <c r="G28" i="6" s="1"/>
  <c r="R28" i="6"/>
  <c r="L44" i="3" s="1"/>
  <c r="E27" i="6"/>
  <c r="G27" i="6" s="1"/>
  <c r="R27" i="6"/>
  <c r="L43" i="3" s="1"/>
  <c r="R26" i="6"/>
  <c r="L42" i="3" s="1"/>
  <c r="E26" i="6"/>
  <c r="G26" i="6" s="1"/>
  <c r="R25" i="6"/>
  <c r="L41" i="3" s="1"/>
  <c r="E25" i="6"/>
  <c r="G25" i="6" s="1"/>
  <c r="E24" i="6"/>
  <c r="G24" i="6" s="1"/>
  <c r="R24" i="6"/>
  <c r="L40" i="3" s="1"/>
  <c r="R23" i="6"/>
  <c r="L39" i="3" s="1"/>
  <c r="E23" i="6"/>
  <c r="G23" i="6" s="1"/>
  <c r="R22" i="6"/>
  <c r="L38" i="3" s="1"/>
  <c r="E22" i="6"/>
  <c r="G22" i="6" s="1"/>
  <c r="R21" i="6"/>
  <c r="L37" i="3" s="1"/>
  <c r="E21" i="6"/>
  <c r="G21" i="6" s="1"/>
  <c r="R20" i="6"/>
  <c r="L36" i="3" s="1"/>
  <c r="E20" i="6"/>
  <c r="G20" i="6" s="1"/>
  <c r="E19" i="6"/>
  <c r="G19" i="6" s="1"/>
  <c r="R19" i="6"/>
  <c r="L35" i="3" s="1"/>
  <c r="R18" i="6"/>
  <c r="L34" i="3" s="1"/>
  <c r="E18" i="6"/>
  <c r="G18" i="6" s="1"/>
  <c r="R17" i="6"/>
  <c r="L33" i="3" s="1"/>
  <c r="E17" i="6"/>
  <c r="G17" i="6" s="1"/>
  <c r="R16" i="6"/>
  <c r="L32" i="3" s="1"/>
  <c r="E16" i="6"/>
  <c r="G16" i="6" s="1"/>
  <c r="E15" i="6"/>
  <c r="G15" i="6" s="1"/>
  <c r="R15" i="6"/>
  <c r="L31" i="3" s="1"/>
  <c r="R14" i="6"/>
  <c r="L30" i="3" s="1"/>
  <c r="E14" i="6"/>
  <c r="G14" i="6" s="1"/>
  <c r="R13" i="6"/>
  <c r="L29" i="3" s="1"/>
  <c r="E13" i="6"/>
  <c r="G13" i="6" s="1"/>
  <c r="E12" i="6"/>
  <c r="G12" i="6" s="1"/>
  <c r="R12" i="6"/>
  <c r="L28" i="3" s="1"/>
  <c r="E11" i="6"/>
  <c r="G11" i="6" s="1"/>
  <c r="R11" i="6"/>
  <c r="L27" i="3" s="1"/>
  <c r="R10" i="6"/>
  <c r="L26" i="3" s="1"/>
  <c r="E10" i="6"/>
  <c r="G10" i="6" s="1"/>
  <c r="E9" i="6"/>
  <c r="G9" i="6" s="1"/>
  <c r="R9" i="6"/>
  <c r="L25" i="3" s="1"/>
  <c r="R8" i="6"/>
  <c r="L24" i="3" s="1"/>
  <c r="E8" i="6"/>
  <c r="G8" i="6" s="1"/>
  <c r="E7" i="6"/>
  <c r="G7" i="6" s="1"/>
  <c r="R7" i="6"/>
  <c r="L23" i="3" s="1"/>
  <c r="R6" i="6"/>
  <c r="L22" i="3" s="1"/>
  <c r="E6" i="6"/>
  <c r="G6" i="6" s="1"/>
  <c r="Q5" i="6"/>
  <c r="E102" i="8"/>
  <c r="Q32" i="5"/>
  <c r="C102" i="7"/>
  <c r="E74" i="8"/>
  <c r="C101" i="7"/>
  <c r="E60" i="8"/>
  <c r="C100" i="7"/>
  <c r="M32" i="5"/>
  <c r="E32" i="8"/>
  <c r="C99" i="7"/>
  <c r="Q31" i="5"/>
  <c r="C98" i="7"/>
  <c r="E101" i="8"/>
  <c r="E59" i="8"/>
  <c r="C97" i="7"/>
  <c r="C96" i="7"/>
  <c r="M31" i="5"/>
  <c r="E31" i="8"/>
  <c r="E100" i="8"/>
  <c r="C95" i="7"/>
  <c r="Q30" i="5"/>
  <c r="E73" i="8"/>
  <c r="C94" i="7"/>
  <c r="E58" i="8"/>
  <c r="C93" i="7"/>
  <c r="C92" i="7"/>
  <c r="M30" i="5"/>
  <c r="E30" i="8"/>
  <c r="C91" i="7"/>
  <c r="E99" i="8"/>
  <c r="Q29" i="5"/>
  <c r="C11" i="1" s="1"/>
  <c r="E57" i="8"/>
  <c r="C90" i="7"/>
  <c r="C89" i="7"/>
  <c r="M29" i="5"/>
  <c r="E29" i="8"/>
  <c r="Q28" i="5"/>
  <c r="C88" i="7"/>
  <c r="E98" i="8"/>
  <c r="C87" i="7"/>
  <c r="E72" i="8"/>
  <c r="E56" i="8"/>
  <c r="C86" i="7"/>
  <c r="M28" i="5"/>
  <c r="C85" i="7"/>
  <c r="E28" i="8"/>
  <c r="Q27" i="5"/>
  <c r="C84" i="7"/>
  <c r="E97" i="8"/>
  <c r="C83" i="7"/>
  <c r="E55" i="8"/>
  <c r="E27" i="8"/>
  <c r="C82" i="7"/>
  <c r="M27" i="5"/>
  <c r="Q26" i="5"/>
  <c r="C81" i="7"/>
  <c r="E96" i="8"/>
  <c r="E71" i="8"/>
  <c r="C80" i="7"/>
  <c r="C79" i="7"/>
  <c r="E54" i="8"/>
  <c r="E26" i="8"/>
  <c r="C78" i="7"/>
  <c r="M26" i="5"/>
  <c r="C77" i="7"/>
  <c r="Q25" i="5"/>
  <c r="E95" i="8"/>
  <c r="C76" i="7"/>
  <c r="E53" i="8"/>
  <c r="E25" i="8"/>
  <c r="M25" i="5"/>
  <c r="C75" i="7"/>
  <c r="C74" i="7"/>
  <c r="Q24" i="5"/>
  <c r="E94" i="8"/>
  <c r="C73" i="7"/>
  <c r="E70" i="8"/>
  <c r="C72" i="7"/>
  <c r="E52" i="8"/>
  <c r="C71" i="7"/>
  <c r="M24" i="5"/>
  <c r="E24" i="8"/>
  <c r="C70" i="7"/>
  <c r="Q23" i="5"/>
  <c r="E93" i="8"/>
  <c r="C69" i="7"/>
  <c r="E51" i="8"/>
  <c r="C68" i="7"/>
  <c r="M23" i="5"/>
  <c r="E23" i="8"/>
  <c r="C67" i="7"/>
  <c r="Q22" i="5"/>
  <c r="E92" i="8"/>
  <c r="C66" i="7"/>
  <c r="E69" i="8"/>
  <c r="C65" i="7"/>
  <c r="E50" i="8"/>
  <c r="L22" i="11"/>
  <c r="E22" i="12" s="1"/>
  <c r="M22" i="5"/>
  <c r="C64" i="7"/>
  <c r="R22" i="11"/>
  <c r="E50" i="12" s="1"/>
  <c r="E22" i="8"/>
  <c r="Q21" i="5"/>
  <c r="C9" i="1" s="1"/>
  <c r="E91" i="8"/>
  <c r="C63" i="7"/>
  <c r="E49" i="8"/>
  <c r="C62" i="7"/>
  <c r="L21" i="11"/>
  <c r="E21" i="12" s="1"/>
  <c r="R21" i="11"/>
  <c r="E49" i="12" s="1"/>
  <c r="E21" i="8"/>
  <c r="M21" i="5"/>
  <c r="C61" i="7"/>
  <c r="C60" i="7"/>
  <c r="E90" i="8"/>
  <c r="Q20" i="5"/>
  <c r="R20" i="11"/>
  <c r="E48" i="12" s="1"/>
  <c r="L20" i="11"/>
  <c r="E20" i="12" s="1"/>
  <c r="M20" i="5"/>
  <c r="E20" i="8"/>
  <c r="Q19" i="5"/>
  <c r="E89" i="8"/>
  <c r="R19" i="11"/>
  <c r="E47" i="12" s="1"/>
  <c r="E19" i="8"/>
  <c r="M19" i="5"/>
  <c r="L19" i="11"/>
  <c r="E19" i="12" s="1"/>
  <c r="E88" i="8"/>
  <c r="Q18" i="5"/>
  <c r="E18" i="8"/>
  <c r="M18" i="5"/>
  <c r="L18" i="11"/>
  <c r="E18" i="12" s="1"/>
  <c r="R18" i="11"/>
  <c r="E46" i="12" s="1"/>
  <c r="E87" i="8"/>
  <c r="Q17" i="5"/>
  <c r="C8" i="1" s="1"/>
  <c r="E17" i="8"/>
  <c r="L17" i="11"/>
  <c r="E17" i="12" s="1"/>
  <c r="R17" i="11"/>
  <c r="E45" i="12" s="1"/>
  <c r="M17" i="5"/>
  <c r="Q16" i="5"/>
  <c r="E86" i="8"/>
  <c r="E16" i="8"/>
  <c r="R16" i="11"/>
  <c r="E44" i="12" s="1"/>
  <c r="L16" i="11"/>
  <c r="E16" i="12" s="1"/>
  <c r="M16" i="5"/>
  <c r="Q15" i="5"/>
  <c r="E85" i="8"/>
  <c r="E15" i="8"/>
  <c r="L15" i="11"/>
  <c r="E15" i="12" s="1"/>
  <c r="M15" i="5"/>
  <c r="R15" i="11"/>
  <c r="E43" i="12" s="1"/>
  <c r="Q14" i="5"/>
  <c r="E84" i="8"/>
  <c r="M14" i="5"/>
  <c r="E14" i="8"/>
  <c r="L14" i="11"/>
  <c r="E14" i="12" s="1"/>
  <c r="R14" i="11"/>
  <c r="E42" i="12" s="1"/>
  <c r="E83" i="8"/>
  <c r="Q13" i="5"/>
  <c r="C7" i="1" s="1"/>
  <c r="E13" i="8"/>
  <c r="M13" i="5"/>
  <c r="L13" i="11"/>
  <c r="E13" i="12" s="1"/>
  <c r="R13" i="11"/>
  <c r="E41" i="12" s="1"/>
  <c r="E82" i="8"/>
  <c r="Q12" i="5"/>
  <c r="E12" i="8"/>
  <c r="M12" i="5"/>
  <c r="L12" i="11"/>
  <c r="E12" i="12" s="1"/>
  <c r="R12" i="11"/>
  <c r="E40" i="12" s="1"/>
  <c r="E81" i="8"/>
  <c r="Q11" i="5"/>
  <c r="M11" i="5"/>
  <c r="L11" i="11"/>
  <c r="E11" i="12" s="1"/>
  <c r="R11" i="11"/>
  <c r="E39" i="12" s="1"/>
  <c r="E11" i="8"/>
  <c r="Q10" i="5"/>
  <c r="E80" i="8"/>
  <c r="M10" i="5"/>
  <c r="R10" i="11"/>
  <c r="E38" i="12" s="1"/>
  <c r="E10" i="8"/>
  <c r="L10" i="11"/>
  <c r="E10" i="12" s="1"/>
  <c r="C21" i="7"/>
  <c r="Q9" i="5"/>
  <c r="C6" i="1" s="1"/>
  <c r="E79" i="8"/>
  <c r="C20" i="7"/>
  <c r="E37" i="8"/>
  <c r="C19" i="7"/>
  <c r="R9" i="11"/>
  <c r="E37" i="12" s="1"/>
  <c r="L9" i="11"/>
  <c r="E9" i="12" s="1"/>
  <c r="M9" i="5"/>
  <c r="E9" i="8"/>
  <c r="C18" i="7"/>
  <c r="Q8" i="5"/>
  <c r="E78" i="8"/>
  <c r="E62" i="8"/>
  <c r="C17" i="7"/>
  <c r="E36" i="8"/>
  <c r="C16" i="7"/>
  <c r="L8" i="11"/>
  <c r="E8" i="12" s="1"/>
  <c r="R8" i="11"/>
  <c r="E36" i="12" s="1"/>
  <c r="E8" i="8"/>
  <c r="M8" i="5"/>
  <c r="C15" i="7"/>
  <c r="Q7" i="5"/>
  <c r="E77" i="8"/>
  <c r="C14" i="7"/>
  <c r="C13" i="7"/>
  <c r="E35" i="8"/>
  <c r="L7" i="11"/>
  <c r="E7" i="12" s="1"/>
  <c r="E7" i="8"/>
  <c r="C12" i="7"/>
  <c r="M7" i="5"/>
  <c r="R7" i="11"/>
  <c r="E35" i="12" s="1"/>
  <c r="C11" i="7"/>
  <c r="Q6" i="5"/>
  <c r="E76" i="8"/>
  <c r="E61" i="8"/>
  <c r="C10" i="7"/>
  <c r="C9" i="7"/>
  <c r="E34" i="8"/>
  <c r="C8" i="7"/>
  <c r="E6" i="8"/>
  <c r="R6" i="11"/>
  <c r="E34" i="12" s="1"/>
  <c r="L6" i="11"/>
  <c r="E6" i="12" s="1"/>
  <c r="M6" i="5"/>
  <c r="E75" i="8"/>
  <c r="Q5" i="5"/>
  <c r="C7" i="7"/>
  <c r="E33" i="8"/>
  <c r="C6" i="7"/>
  <c r="C5" i="7"/>
  <c r="R5" i="11"/>
  <c r="E33" i="12" s="1"/>
  <c r="L5" i="11"/>
  <c r="E5" i="12" s="1"/>
  <c r="M5" i="5"/>
  <c r="E5" i="8"/>
  <c r="J47" i="3"/>
  <c r="E47" i="3"/>
  <c r="E45" i="3"/>
  <c r="J45" i="3"/>
  <c r="J43" i="3"/>
  <c r="E43" i="3"/>
  <c r="J41" i="3"/>
  <c r="E41" i="3"/>
  <c r="E39" i="3"/>
  <c r="J39" i="3"/>
  <c r="E37" i="3"/>
  <c r="J37" i="3"/>
  <c r="E35" i="3"/>
  <c r="J35" i="3"/>
  <c r="E33" i="3"/>
  <c r="J33" i="3"/>
  <c r="E31" i="3"/>
  <c r="J31" i="3"/>
  <c r="J29" i="3"/>
  <c r="E29" i="3"/>
  <c r="J27" i="3"/>
  <c r="E27" i="3"/>
  <c r="J25" i="3"/>
  <c r="E25" i="3"/>
  <c r="E23" i="3"/>
  <c r="J23" i="3"/>
  <c r="J21" i="3"/>
  <c r="E21" i="3"/>
  <c r="N23" i="6"/>
  <c r="N22" i="6"/>
  <c r="N19" i="6"/>
  <c r="N24" i="6"/>
  <c r="N32" i="6"/>
  <c r="N31" i="6"/>
  <c r="N30" i="6"/>
  <c r="N11" i="6"/>
  <c r="N10" i="6"/>
  <c r="N9" i="6"/>
  <c r="N27" i="6"/>
  <c r="N18" i="6"/>
  <c r="N17" i="6"/>
  <c r="N14" i="6"/>
  <c r="N13" i="6"/>
  <c r="N12" i="6"/>
  <c r="N7" i="6"/>
  <c r="N6" i="6"/>
  <c r="N21" i="6"/>
  <c r="N20" i="6"/>
  <c r="N25" i="6"/>
  <c r="N29" i="6"/>
  <c r="N26" i="6"/>
  <c r="N16" i="6"/>
  <c r="H72" i="8" l="1"/>
  <c r="J72" i="8" s="1"/>
  <c r="H38" i="12"/>
  <c r="J38" i="12" s="1"/>
  <c r="H16" i="12"/>
  <c r="J16" i="12" s="1"/>
  <c r="I51" i="12"/>
  <c r="D51" i="12"/>
  <c r="G51" i="12"/>
  <c r="H51" i="12" s="1"/>
  <c r="J51" i="12" s="1"/>
  <c r="I23" i="12"/>
  <c r="D23" i="12"/>
  <c r="G23" i="12" s="1"/>
  <c r="H23" i="12" s="1"/>
  <c r="J23" i="12" s="1"/>
  <c r="AC23" i="11"/>
  <c r="AD23" i="11"/>
  <c r="F51" i="12"/>
  <c r="U23" i="11"/>
  <c r="T23" i="11"/>
  <c r="F23" i="12"/>
  <c r="D50" i="12"/>
  <c r="G50" i="12"/>
  <c r="H50" i="12" s="1"/>
  <c r="J50" i="12" s="1"/>
  <c r="I50" i="12"/>
  <c r="D22" i="12"/>
  <c r="G22" i="12" s="1"/>
  <c r="H22" i="12" s="1"/>
  <c r="J22" i="12" s="1"/>
  <c r="I22" i="12"/>
  <c r="D49" i="12"/>
  <c r="G49" i="12"/>
  <c r="H49" i="12" s="1"/>
  <c r="J49" i="12" s="1"/>
  <c r="I49" i="12"/>
  <c r="I21" i="12"/>
  <c r="D21" i="12"/>
  <c r="G21" i="12" s="1"/>
  <c r="H21" i="12" s="1"/>
  <c r="J21" i="12" s="1"/>
  <c r="D48" i="12"/>
  <c r="I48" i="12"/>
  <c r="G48" i="12"/>
  <c r="H48" i="12" s="1"/>
  <c r="J48" i="12" s="1"/>
  <c r="D20" i="12"/>
  <c r="G20" i="12" s="1"/>
  <c r="H20" i="12" s="1"/>
  <c r="J20" i="12" s="1"/>
  <c r="I20" i="12"/>
  <c r="I47" i="12"/>
  <c r="D47" i="12"/>
  <c r="G47" i="12" s="1"/>
  <c r="H47" i="12" s="1"/>
  <c r="J47" i="12" s="1"/>
  <c r="D19" i="12"/>
  <c r="G19" i="12" s="1"/>
  <c r="H19" i="12" s="1"/>
  <c r="J19" i="12" s="1"/>
  <c r="I19" i="12"/>
  <c r="D46" i="12"/>
  <c r="G46" i="12" s="1"/>
  <c r="H46" i="12" s="1"/>
  <c r="I46" i="12"/>
  <c r="I18" i="12"/>
  <c r="D18" i="12"/>
  <c r="G18" i="12" s="1"/>
  <c r="H18" i="12" s="1"/>
  <c r="J18" i="12" s="1"/>
  <c r="I45" i="12"/>
  <c r="D45" i="12"/>
  <c r="G45" i="12" s="1"/>
  <c r="H45" i="12" s="1"/>
  <c r="J45" i="12" s="1"/>
  <c r="I17" i="12"/>
  <c r="D17" i="12"/>
  <c r="G17" i="12" s="1"/>
  <c r="H17" i="12" s="1"/>
  <c r="J17" i="12" s="1"/>
  <c r="D15" i="12"/>
  <c r="G15" i="12" s="1"/>
  <c r="H15" i="12" s="1"/>
  <c r="I15" i="12"/>
  <c r="I43" i="12"/>
  <c r="D43" i="12"/>
  <c r="G43" i="12"/>
  <c r="H43" i="12" s="1"/>
  <c r="J43" i="12" s="1"/>
  <c r="I42" i="12"/>
  <c r="D42" i="12"/>
  <c r="G42" i="12" s="1"/>
  <c r="H42" i="12" s="1"/>
  <c r="J42" i="12" s="1"/>
  <c r="D14" i="12"/>
  <c r="G14" i="12" s="1"/>
  <c r="H14" i="12" s="1"/>
  <c r="I14" i="12"/>
  <c r="I41" i="12"/>
  <c r="D41" i="12"/>
  <c r="G41" i="12" s="1"/>
  <c r="H41" i="12" s="1"/>
  <c r="J41" i="12" s="1"/>
  <c r="I13" i="12"/>
  <c r="D13" i="12"/>
  <c r="G13" i="12"/>
  <c r="H13" i="12" s="1"/>
  <c r="J13" i="12" s="1"/>
  <c r="I40" i="12"/>
  <c r="D40" i="12"/>
  <c r="G40" i="12" s="1"/>
  <c r="H40" i="12" s="1"/>
  <c r="J40" i="12" s="1"/>
  <c r="I12" i="12"/>
  <c r="D12" i="12"/>
  <c r="G12" i="12" s="1"/>
  <c r="H12" i="12" s="1"/>
  <c r="J12" i="12" s="1"/>
  <c r="D39" i="12"/>
  <c r="G39" i="12" s="1"/>
  <c r="H39" i="12" s="1"/>
  <c r="I39" i="12"/>
  <c r="I11" i="12"/>
  <c r="D11" i="12"/>
  <c r="G11" i="12" s="1"/>
  <c r="H11" i="12" s="1"/>
  <c r="J11" i="12" s="1"/>
  <c r="D37" i="12"/>
  <c r="I37" i="12"/>
  <c r="G37" i="12"/>
  <c r="H37" i="12" s="1"/>
  <c r="J37" i="12" s="1"/>
  <c r="I9" i="12"/>
  <c r="D9" i="12"/>
  <c r="G9" i="12" s="1"/>
  <c r="H9" i="12" s="1"/>
  <c r="J9" i="12" s="1"/>
  <c r="D36" i="12"/>
  <c r="G36" i="12" s="1"/>
  <c r="H36" i="12" s="1"/>
  <c r="J36" i="12" s="1"/>
  <c r="I36" i="12"/>
  <c r="D8" i="12"/>
  <c r="G8" i="12"/>
  <c r="H8" i="12" s="1"/>
  <c r="I8" i="12"/>
  <c r="I35" i="12"/>
  <c r="D35" i="12"/>
  <c r="G35" i="12" s="1"/>
  <c r="H35" i="12" s="1"/>
  <c r="J35" i="12" s="1"/>
  <c r="I7" i="12"/>
  <c r="D7" i="12"/>
  <c r="G7" i="12" s="1"/>
  <c r="H7" i="12" s="1"/>
  <c r="J7" i="12" s="1"/>
  <c r="I6" i="12"/>
  <c r="D6" i="12"/>
  <c r="G6" i="12"/>
  <c r="H6" i="12" s="1"/>
  <c r="J6" i="12" s="1"/>
  <c r="D34" i="12"/>
  <c r="G34" i="12" s="1"/>
  <c r="H34" i="12" s="1"/>
  <c r="I34" i="12"/>
  <c r="D5" i="12"/>
  <c r="G5" i="12" s="1"/>
  <c r="H5" i="12" s="1"/>
  <c r="I5" i="12"/>
  <c r="D33" i="12"/>
  <c r="G33" i="12" s="1"/>
  <c r="H33" i="12" s="1"/>
  <c r="I33" i="12"/>
  <c r="Q22" i="6"/>
  <c r="Q16" i="6"/>
  <c r="Q9" i="6"/>
  <c r="Q11" i="6"/>
  <c r="Q10" i="6"/>
  <c r="Q12" i="6"/>
  <c r="Q18" i="6"/>
  <c r="Q21" i="6"/>
  <c r="Q8" i="6"/>
  <c r="Q13" i="6"/>
  <c r="Q23" i="6"/>
  <c r="Q15" i="6"/>
  <c r="Q17" i="6"/>
  <c r="Q14" i="6"/>
  <c r="Q6" i="6"/>
  <c r="Q20" i="6"/>
  <c r="Q7" i="6"/>
  <c r="Q19" i="6"/>
  <c r="K43" i="12"/>
  <c r="L43" i="12"/>
  <c r="K42" i="12"/>
  <c r="L42" i="12"/>
  <c r="K41" i="12"/>
  <c r="L41" i="12"/>
  <c r="K40" i="12"/>
  <c r="L40" i="12"/>
  <c r="K38" i="12"/>
  <c r="L38" i="12"/>
  <c r="K37" i="12"/>
  <c r="L37" i="12"/>
  <c r="K35" i="12"/>
  <c r="L35" i="12"/>
  <c r="K23" i="12"/>
  <c r="L23" i="12"/>
  <c r="K13" i="12"/>
  <c r="L13" i="12"/>
  <c r="K12" i="12"/>
  <c r="L12" i="12"/>
  <c r="K7" i="12"/>
  <c r="L7" i="12"/>
  <c r="K6" i="12"/>
  <c r="L6" i="12"/>
  <c r="U32" i="11"/>
  <c r="T32" i="11"/>
  <c r="F32" i="12"/>
  <c r="D32" i="12"/>
  <c r="G32" i="12"/>
  <c r="H32" i="12" s="1"/>
  <c r="I32" i="12"/>
  <c r="D60" i="12"/>
  <c r="G60" i="12"/>
  <c r="H60" i="12" s="1"/>
  <c r="I60" i="12"/>
  <c r="F60" i="12"/>
  <c r="D31" i="12"/>
  <c r="G31" i="12"/>
  <c r="H31" i="12" s="1"/>
  <c r="I31" i="12"/>
  <c r="F59" i="12"/>
  <c r="AD31" i="11"/>
  <c r="AC31" i="11"/>
  <c r="T31" i="11"/>
  <c r="U31" i="11"/>
  <c r="F31" i="12"/>
  <c r="D59" i="12"/>
  <c r="G59" i="12"/>
  <c r="H59" i="12" s="1"/>
  <c r="I59" i="12"/>
  <c r="D58" i="12"/>
  <c r="G58" i="12"/>
  <c r="H58" i="12" s="1"/>
  <c r="I58" i="12"/>
  <c r="U30" i="11"/>
  <c r="F30" i="12"/>
  <c r="T30" i="11"/>
  <c r="D30" i="12"/>
  <c r="G30" i="12"/>
  <c r="H30" i="12" s="1"/>
  <c r="I30" i="12"/>
  <c r="F58" i="12"/>
  <c r="D57" i="12"/>
  <c r="G57" i="12"/>
  <c r="H57" i="12" s="1"/>
  <c r="I57" i="12"/>
  <c r="F57" i="12"/>
  <c r="AC29" i="11"/>
  <c r="AD29" i="11"/>
  <c r="U29" i="11"/>
  <c r="F29" i="12"/>
  <c r="T29" i="11"/>
  <c r="D29" i="12"/>
  <c r="G29" i="12"/>
  <c r="H29" i="12" s="1"/>
  <c r="I29" i="12"/>
  <c r="D56" i="12"/>
  <c r="G56" i="12"/>
  <c r="H56" i="12" s="1"/>
  <c r="I56" i="12"/>
  <c r="D28" i="12"/>
  <c r="G28" i="12" s="1"/>
  <c r="H28" i="12" s="1"/>
  <c r="J28" i="12" s="1"/>
  <c r="I28" i="12"/>
  <c r="U28" i="11"/>
  <c r="F28" i="12"/>
  <c r="T28" i="11"/>
  <c r="F56" i="12"/>
  <c r="D55" i="12"/>
  <c r="G55" i="12"/>
  <c r="H55" i="12" s="1"/>
  <c r="I55" i="12"/>
  <c r="AC27" i="11"/>
  <c r="AD27" i="11"/>
  <c r="F55" i="12"/>
  <c r="T27" i="11"/>
  <c r="U27" i="11"/>
  <c r="F27" i="12"/>
  <c r="D27" i="12"/>
  <c r="G27" i="12"/>
  <c r="H27" i="12" s="1"/>
  <c r="I27" i="12"/>
  <c r="U26" i="11"/>
  <c r="T26" i="11"/>
  <c r="F26" i="12"/>
  <c r="D54" i="12"/>
  <c r="G54" i="12"/>
  <c r="H54" i="12" s="1"/>
  <c r="I54" i="12"/>
  <c r="F54" i="12"/>
  <c r="D26" i="12"/>
  <c r="G26" i="12"/>
  <c r="H26" i="12" s="1"/>
  <c r="I26" i="12"/>
  <c r="U25" i="11"/>
  <c r="T25" i="11"/>
  <c r="F25" i="12"/>
  <c r="D53" i="12"/>
  <c r="G53" i="12"/>
  <c r="H53" i="12" s="1"/>
  <c r="I53" i="12"/>
  <c r="D25" i="12"/>
  <c r="G25" i="12"/>
  <c r="H25" i="12" s="1"/>
  <c r="I25" i="12"/>
  <c r="F53" i="12"/>
  <c r="AC25" i="11"/>
  <c r="AD25" i="11"/>
  <c r="D24" i="12"/>
  <c r="G24" i="12"/>
  <c r="H24" i="12" s="1"/>
  <c r="I24" i="12"/>
  <c r="D52" i="12"/>
  <c r="G52" i="12"/>
  <c r="H52" i="12" s="1"/>
  <c r="I52" i="12"/>
  <c r="F52" i="12"/>
  <c r="U24" i="11"/>
  <c r="T24" i="11"/>
  <c r="F24" i="12"/>
  <c r="T22" i="11"/>
  <c r="U22" i="11"/>
  <c r="F22" i="12"/>
  <c r="F50" i="12"/>
  <c r="AC21" i="11"/>
  <c r="AD21" i="11"/>
  <c r="F49" i="12"/>
  <c r="T21" i="11"/>
  <c r="U21" i="11"/>
  <c r="F21" i="12"/>
  <c r="F48" i="12"/>
  <c r="T20" i="11"/>
  <c r="U20" i="11"/>
  <c r="F20" i="12"/>
  <c r="T19" i="11"/>
  <c r="U19" i="11"/>
  <c r="F19" i="12"/>
  <c r="AC19" i="11"/>
  <c r="AD19" i="11"/>
  <c r="F47" i="12"/>
  <c r="T18" i="11"/>
  <c r="U18" i="11"/>
  <c r="F18" i="12"/>
  <c r="F46" i="12"/>
  <c r="AC17" i="11"/>
  <c r="AD17" i="11"/>
  <c r="F45" i="12"/>
  <c r="T17" i="11"/>
  <c r="U17" i="11"/>
  <c r="F17" i="12"/>
  <c r="F44" i="12"/>
  <c r="D44" i="12"/>
  <c r="G44" i="12"/>
  <c r="H44" i="12" s="1"/>
  <c r="I44" i="12"/>
  <c r="T16" i="11"/>
  <c r="U16" i="11"/>
  <c r="F16" i="12"/>
  <c r="T15" i="11"/>
  <c r="U15" i="11"/>
  <c r="F15" i="12"/>
  <c r="AC15" i="11"/>
  <c r="AD15" i="11"/>
  <c r="F43" i="12"/>
  <c r="T14" i="11"/>
  <c r="U14" i="11"/>
  <c r="F14" i="12"/>
  <c r="F42" i="12"/>
  <c r="T13" i="11"/>
  <c r="U13" i="11"/>
  <c r="F13" i="12"/>
  <c r="AC13" i="11"/>
  <c r="AD13" i="11"/>
  <c r="F41" i="12"/>
  <c r="F40" i="12"/>
  <c r="T12" i="11"/>
  <c r="U12" i="11"/>
  <c r="F12" i="12"/>
  <c r="AC11" i="11"/>
  <c r="AD11" i="11"/>
  <c r="F39" i="12"/>
  <c r="T11" i="11"/>
  <c r="U11" i="11"/>
  <c r="F11" i="12"/>
  <c r="D10" i="12"/>
  <c r="G10" i="12"/>
  <c r="H10" i="12" s="1"/>
  <c r="I10" i="12"/>
  <c r="F38" i="12"/>
  <c r="T10" i="11"/>
  <c r="U10" i="11"/>
  <c r="F10" i="12"/>
  <c r="AC9" i="11"/>
  <c r="AD9" i="11"/>
  <c r="F37" i="12"/>
  <c r="T9" i="11"/>
  <c r="U9" i="11"/>
  <c r="F9" i="12"/>
  <c r="F36" i="12"/>
  <c r="T8" i="11"/>
  <c r="U8" i="11"/>
  <c r="F8" i="12"/>
  <c r="AC7" i="11"/>
  <c r="AD7" i="11"/>
  <c r="F35" i="12"/>
  <c r="T7" i="11"/>
  <c r="U7" i="11"/>
  <c r="F7" i="12"/>
  <c r="F34" i="12"/>
  <c r="T6" i="11"/>
  <c r="U6" i="11"/>
  <c r="F6" i="12"/>
  <c r="AC5" i="11"/>
  <c r="AD5" i="11"/>
  <c r="N33" i="11"/>
  <c r="F33" i="12"/>
  <c r="T5" i="11"/>
  <c r="U5" i="11"/>
  <c r="H33" i="11"/>
  <c r="F5" i="12"/>
  <c r="D102" i="8"/>
  <c r="G102" i="8"/>
  <c r="H102" i="8" s="1"/>
  <c r="I102" i="8"/>
  <c r="D101" i="8"/>
  <c r="G101" i="8"/>
  <c r="H101" i="8" s="1"/>
  <c r="I101" i="8"/>
  <c r="D100" i="8"/>
  <c r="G100" i="8"/>
  <c r="H100" i="8" s="1"/>
  <c r="I100" i="8"/>
  <c r="D99" i="8"/>
  <c r="G99" i="8"/>
  <c r="H99" i="8" s="1"/>
  <c r="I99" i="8"/>
  <c r="D98" i="8"/>
  <c r="G98" i="8"/>
  <c r="H98" i="8" s="1"/>
  <c r="I98" i="8"/>
  <c r="D97" i="8"/>
  <c r="G97" i="8"/>
  <c r="H97" i="8" s="1"/>
  <c r="I97" i="8"/>
  <c r="D96" i="8"/>
  <c r="G96" i="8"/>
  <c r="H96" i="8" s="1"/>
  <c r="I96" i="8"/>
  <c r="D95" i="8"/>
  <c r="G95" i="8"/>
  <c r="H95" i="8" s="1"/>
  <c r="I95" i="8"/>
  <c r="D94" i="8"/>
  <c r="G94" i="8"/>
  <c r="H94" i="8" s="1"/>
  <c r="I94" i="8"/>
  <c r="D93" i="8"/>
  <c r="G93" i="8"/>
  <c r="H93" i="8" s="1"/>
  <c r="I93" i="8"/>
  <c r="D92" i="8"/>
  <c r="G92" i="8"/>
  <c r="H92" i="8" s="1"/>
  <c r="I92" i="8"/>
  <c r="D91" i="8"/>
  <c r="G91" i="8"/>
  <c r="H91" i="8" s="1"/>
  <c r="I91" i="8"/>
  <c r="D90" i="8"/>
  <c r="G90" i="8"/>
  <c r="H90" i="8" s="1"/>
  <c r="I90" i="8"/>
  <c r="K89" i="8"/>
  <c r="L89" i="8"/>
  <c r="D88" i="8"/>
  <c r="G88" i="8"/>
  <c r="H88" i="8" s="1"/>
  <c r="I88" i="8"/>
  <c r="D87" i="8"/>
  <c r="G87" i="8"/>
  <c r="H87" i="8" s="1"/>
  <c r="I87" i="8"/>
  <c r="D86" i="8"/>
  <c r="G86" i="8"/>
  <c r="H86" i="8" s="1"/>
  <c r="I86" i="8"/>
  <c r="D85" i="8"/>
  <c r="G85" i="8"/>
  <c r="H85" i="8" s="1"/>
  <c r="I85" i="8"/>
  <c r="I84" i="8"/>
  <c r="D84" i="8"/>
  <c r="G84" i="8" s="1"/>
  <c r="H84" i="8" s="1"/>
  <c r="J84" i="8" s="1"/>
  <c r="D83" i="8"/>
  <c r="G83" i="8"/>
  <c r="H83" i="8" s="1"/>
  <c r="I83" i="8"/>
  <c r="D82" i="8"/>
  <c r="I82" i="8"/>
  <c r="G82" i="8"/>
  <c r="H82" i="8" s="1"/>
  <c r="J82" i="8" s="1"/>
  <c r="D81" i="8"/>
  <c r="G81" i="8"/>
  <c r="H81" i="8" s="1"/>
  <c r="I81" i="8"/>
  <c r="D80" i="8"/>
  <c r="G80" i="8"/>
  <c r="H80" i="8" s="1"/>
  <c r="I80" i="8"/>
  <c r="I79" i="8"/>
  <c r="D79" i="8"/>
  <c r="G79" i="8" s="1"/>
  <c r="H79" i="8" s="1"/>
  <c r="J79" i="8" s="1"/>
  <c r="D78" i="8"/>
  <c r="G78" i="8" s="1"/>
  <c r="H78" i="8" s="1"/>
  <c r="I78" i="8"/>
  <c r="D77" i="8"/>
  <c r="G77" i="8" s="1"/>
  <c r="H77" i="8" s="1"/>
  <c r="I77" i="8"/>
  <c r="I76" i="8"/>
  <c r="D76" i="8"/>
  <c r="G76" i="8" s="1"/>
  <c r="H76" i="8" s="1"/>
  <c r="J76" i="8" s="1"/>
  <c r="I75" i="8"/>
  <c r="D75" i="8"/>
  <c r="G75" i="8" s="1"/>
  <c r="H75" i="8" s="1"/>
  <c r="J75" i="8" s="1"/>
  <c r="I74" i="8"/>
  <c r="D74" i="8"/>
  <c r="G74" i="8" s="1"/>
  <c r="H74" i="8" s="1"/>
  <c r="J74" i="8" s="1"/>
  <c r="D73" i="8"/>
  <c r="G73" i="8"/>
  <c r="H73" i="8" s="1"/>
  <c r="I73" i="8"/>
  <c r="D71" i="8"/>
  <c r="G71" i="8"/>
  <c r="H71" i="8" s="1"/>
  <c r="J71" i="8" s="1"/>
  <c r="I71" i="8"/>
  <c r="D70" i="8"/>
  <c r="G70" i="8"/>
  <c r="H70" i="8" s="1"/>
  <c r="J70" i="8" s="1"/>
  <c r="I70" i="8"/>
  <c r="D69" i="8"/>
  <c r="G69" i="8"/>
  <c r="H69" i="8" s="1"/>
  <c r="J69" i="8" s="1"/>
  <c r="I69" i="8"/>
  <c r="D68" i="8"/>
  <c r="G68" i="8"/>
  <c r="H68" i="8" s="1"/>
  <c r="J68" i="8" s="1"/>
  <c r="I68" i="8"/>
  <c r="D67" i="8"/>
  <c r="G67" i="8"/>
  <c r="H67" i="8" s="1"/>
  <c r="J67" i="8" s="1"/>
  <c r="I67" i="8"/>
  <c r="D66" i="8"/>
  <c r="G66" i="8"/>
  <c r="H66" i="8" s="1"/>
  <c r="I66" i="8"/>
  <c r="D65" i="8"/>
  <c r="G65" i="8"/>
  <c r="H65" i="8" s="1"/>
  <c r="J65" i="8" s="1"/>
  <c r="I65" i="8"/>
  <c r="D64" i="8"/>
  <c r="G64" i="8"/>
  <c r="H64" i="8" s="1"/>
  <c r="J64" i="8" s="1"/>
  <c r="I64" i="8"/>
  <c r="D63" i="8"/>
  <c r="G63" i="8"/>
  <c r="H63" i="8" s="1"/>
  <c r="J63" i="8" s="1"/>
  <c r="I63" i="8"/>
  <c r="D62" i="8"/>
  <c r="G62" i="8"/>
  <c r="H62" i="8" s="1"/>
  <c r="J62" i="8" s="1"/>
  <c r="I62" i="8"/>
  <c r="D61" i="8"/>
  <c r="G61" i="8"/>
  <c r="H61" i="8" s="1"/>
  <c r="J61" i="8" s="1"/>
  <c r="I61" i="8"/>
  <c r="D60" i="8"/>
  <c r="G60" i="8"/>
  <c r="H60" i="8" s="1"/>
  <c r="J60" i="8" s="1"/>
  <c r="I60" i="8"/>
  <c r="D59" i="8"/>
  <c r="G59" i="8"/>
  <c r="H59" i="8" s="1"/>
  <c r="J59" i="8" s="1"/>
  <c r="I59" i="8"/>
  <c r="D58" i="8"/>
  <c r="G58" i="8" s="1"/>
  <c r="H58" i="8" s="1"/>
  <c r="I58" i="8"/>
  <c r="D57" i="8"/>
  <c r="G57" i="8"/>
  <c r="H57" i="8" s="1"/>
  <c r="I57" i="8"/>
  <c r="D56" i="8"/>
  <c r="G56" i="8"/>
  <c r="H56" i="8" s="1"/>
  <c r="I56" i="8"/>
  <c r="D54" i="8"/>
  <c r="G54" i="8"/>
  <c r="H54" i="8" s="1"/>
  <c r="I54" i="8"/>
  <c r="D53" i="8"/>
  <c r="G53" i="8"/>
  <c r="H53" i="8" s="1"/>
  <c r="I53" i="8"/>
  <c r="D52" i="8"/>
  <c r="G52" i="8"/>
  <c r="H52" i="8" s="1"/>
  <c r="I52" i="8"/>
  <c r="D51" i="8"/>
  <c r="G51" i="8"/>
  <c r="H51" i="8" s="1"/>
  <c r="I51" i="8"/>
  <c r="D50" i="8"/>
  <c r="G50" i="8"/>
  <c r="H50" i="8" s="1"/>
  <c r="I50" i="8"/>
  <c r="D49" i="8"/>
  <c r="G49" i="8"/>
  <c r="H49" i="8" s="1"/>
  <c r="I49" i="8"/>
  <c r="D48" i="8"/>
  <c r="G48" i="8"/>
  <c r="H48" i="8" s="1"/>
  <c r="I48" i="8"/>
  <c r="D47" i="8"/>
  <c r="G47" i="8"/>
  <c r="H47" i="8" s="1"/>
  <c r="I47" i="8"/>
  <c r="D46" i="8"/>
  <c r="G46" i="8"/>
  <c r="H46" i="8" s="1"/>
  <c r="I46" i="8"/>
  <c r="D45" i="8"/>
  <c r="G45" i="8"/>
  <c r="H45" i="8" s="1"/>
  <c r="I45" i="8"/>
  <c r="D44" i="8"/>
  <c r="G44" i="8"/>
  <c r="H44" i="8" s="1"/>
  <c r="I44" i="8"/>
  <c r="D43" i="8"/>
  <c r="G43" i="8"/>
  <c r="H43" i="8" s="1"/>
  <c r="I43" i="8"/>
  <c r="D42" i="8"/>
  <c r="G42" i="8"/>
  <c r="H42" i="8" s="1"/>
  <c r="I42" i="8"/>
  <c r="D41" i="8"/>
  <c r="G41" i="8"/>
  <c r="H41" i="8" s="1"/>
  <c r="I41" i="8"/>
  <c r="D40" i="8"/>
  <c r="G40" i="8"/>
  <c r="H40" i="8" s="1"/>
  <c r="I40" i="8"/>
  <c r="D39" i="8"/>
  <c r="G39" i="8"/>
  <c r="H39" i="8" s="1"/>
  <c r="I39" i="8"/>
  <c r="D37" i="8"/>
  <c r="G37" i="8"/>
  <c r="H37" i="8" s="1"/>
  <c r="I37" i="8"/>
  <c r="D36" i="8"/>
  <c r="G36" i="8"/>
  <c r="H36" i="8" s="1"/>
  <c r="I36" i="8"/>
  <c r="D35" i="8"/>
  <c r="G35" i="8"/>
  <c r="H35" i="8" s="1"/>
  <c r="I35" i="8"/>
  <c r="D34" i="8"/>
  <c r="G34" i="8"/>
  <c r="H34" i="8" s="1"/>
  <c r="I34" i="8"/>
  <c r="D33" i="8"/>
  <c r="G33" i="8"/>
  <c r="H33" i="8" s="1"/>
  <c r="I33" i="8"/>
  <c r="D32" i="8"/>
  <c r="G32" i="8"/>
  <c r="H32" i="8" s="1"/>
  <c r="I32" i="8"/>
  <c r="D31" i="8"/>
  <c r="G31" i="8"/>
  <c r="H31" i="8" s="1"/>
  <c r="I31" i="8"/>
  <c r="D30" i="8"/>
  <c r="G30" i="8"/>
  <c r="H30" i="8" s="1"/>
  <c r="I30" i="8"/>
  <c r="D29" i="8"/>
  <c r="G29" i="8"/>
  <c r="H29" i="8" s="1"/>
  <c r="I29" i="8"/>
  <c r="D28" i="8"/>
  <c r="G28" i="8"/>
  <c r="H28" i="8" s="1"/>
  <c r="I28" i="8"/>
  <c r="D27" i="8"/>
  <c r="G27" i="8"/>
  <c r="H27" i="8" s="1"/>
  <c r="I27" i="8"/>
  <c r="D26" i="8"/>
  <c r="G26" i="8"/>
  <c r="H26" i="8" s="1"/>
  <c r="I26" i="8"/>
  <c r="D25" i="8"/>
  <c r="G25" i="8"/>
  <c r="H25" i="8" s="1"/>
  <c r="I25" i="8"/>
  <c r="D24" i="8"/>
  <c r="G24" i="8"/>
  <c r="H24" i="8" s="1"/>
  <c r="I24" i="8"/>
  <c r="D23" i="8"/>
  <c r="G23" i="8"/>
  <c r="H23" i="8" s="1"/>
  <c r="I23" i="8"/>
  <c r="D21" i="8"/>
  <c r="G21" i="8"/>
  <c r="H21" i="8" s="1"/>
  <c r="I21" i="8"/>
  <c r="D20" i="8"/>
  <c r="G20" i="8"/>
  <c r="H20" i="8" s="1"/>
  <c r="I20" i="8"/>
  <c r="D19" i="8"/>
  <c r="G19" i="8"/>
  <c r="H19" i="8" s="1"/>
  <c r="I19" i="8"/>
  <c r="D18" i="8"/>
  <c r="G18" i="8"/>
  <c r="H18" i="8" s="1"/>
  <c r="I18" i="8"/>
  <c r="D17" i="8"/>
  <c r="G17" i="8"/>
  <c r="H17" i="8" s="1"/>
  <c r="I17" i="8"/>
  <c r="D16" i="8"/>
  <c r="G16" i="8"/>
  <c r="H16" i="8" s="1"/>
  <c r="I16" i="8"/>
  <c r="D15" i="8"/>
  <c r="G15" i="8"/>
  <c r="H15" i="8" s="1"/>
  <c r="I15" i="8"/>
  <c r="D14" i="8"/>
  <c r="G14" i="8"/>
  <c r="H14" i="8" s="1"/>
  <c r="I14" i="8"/>
  <c r="D13" i="8"/>
  <c r="G13" i="8"/>
  <c r="H13" i="8" s="1"/>
  <c r="I13" i="8"/>
  <c r="D12" i="8"/>
  <c r="G12" i="8"/>
  <c r="H12" i="8" s="1"/>
  <c r="I12" i="8"/>
  <c r="D11" i="8"/>
  <c r="G11" i="8"/>
  <c r="H11" i="8" s="1"/>
  <c r="I11" i="8"/>
  <c r="D10" i="8"/>
  <c r="G10" i="8"/>
  <c r="H10" i="8" s="1"/>
  <c r="I10" i="8"/>
  <c r="D9" i="8"/>
  <c r="G9" i="8"/>
  <c r="H9" i="8" s="1"/>
  <c r="I9" i="8"/>
  <c r="D8" i="8"/>
  <c r="G8" i="8"/>
  <c r="H8" i="8" s="1"/>
  <c r="I8" i="8"/>
  <c r="D7" i="8"/>
  <c r="G7" i="8"/>
  <c r="H7" i="8" s="1"/>
  <c r="I7" i="8"/>
  <c r="I6" i="8"/>
  <c r="D6" i="8"/>
  <c r="G6" i="8" s="1"/>
  <c r="H6" i="8" s="1"/>
  <c r="J6" i="8" s="1"/>
  <c r="E59" i="7"/>
  <c r="F59" i="7"/>
  <c r="G59" i="7"/>
  <c r="H59" i="7"/>
  <c r="E58" i="7"/>
  <c r="F58" i="7"/>
  <c r="G58" i="7"/>
  <c r="H58" i="7"/>
  <c r="I58" i="7" s="1"/>
  <c r="E57" i="7"/>
  <c r="F57" i="7"/>
  <c r="G57" i="7"/>
  <c r="E56" i="7"/>
  <c r="F56" i="7"/>
  <c r="G56" i="7"/>
  <c r="E55" i="7"/>
  <c r="F55" i="7"/>
  <c r="G55" i="7"/>
  <c r="H55" i="7"/>
  <c r="I55" i="7" s="1"/>
  <c r="E54" i="7"/>
  <c r="F54" i="7"/>
  <c r="G54" i="7"/>
  <c r="H54" i="7"/>
  <c r="I54" i="7" s="1"/>
  <c r="E53" i="7"/>
  <c r="F53" i="7"/>
  <c r="G53" i="7" s="1"/>
  <c r="E52" i="7"/>
  <c r="F52" i="7"/>
  <c r="G52" i="7"/>
  <c r="E51" i="7"/>
  <c r="F51" i="7"/>
  <c r="G51" i="7"/>
  <c r="H51" i="7" s="1"/>
  <c r="I51" i="7" s="1"/>
  <c r="E50" i="7"/>
  <c r="F50" i="7"/>
  <c r="G50" i="7"/>
  <c r="H50" i="7" s="1"/>
  <c r="I50" i="7" s="1"/>
  <c r="E49" i="7"/>
  <c r="F49" i="7"/>
  <c r="E48" i="7"/>
  <c r="F48" i="7"/>
  <c r="G48" i="7"/>
  <c r="E47" i="7"/>
  <c r="G47" i="7"/>
  <c r="F47" i="7"/>
  <c r="H47" i="7"/>
  <c r="E46" i="7"/>
  <c r="G46" i="7"/>
  <c r="F46" i="7"/>
  <c r="H46" i="7"/>
  <c r="E45" i="7"/>
  <c r="G45" i="7"/>
  <c r="F45" i="7"/>
  <c r="E44" i="7"/>
  <c r="G44" i="7"/>
  <c r="F44" i="7"/>
  <c r="G43" i="7"/>
  <c r="E43" i="7"/>
  <c r="I43" i="7" s="1"/>
  <c r="F43" i="7"/>
  <c r="H43" i="7"/>
  <c r="F42" i="7"/>
  <c r="G42" i="7"/>
  <c r="H42" i="7"/>
  <c r="E42" i="7"/>
  <c r="J41" i="7"/>
  <c r="E40" i="7"/>
  <c r="F40" i="7"/>
  <c r="G40" i="7"/>
  <c r="H40" i="7"/>
  <c r="I40" i="7" s="1"/>
  <c r="E39" i="7"/>
  <c r="F39" i="7"/>
  <c r="G39" i="7"/>
  <c r="E38" i="7"/>
  <c r="F38" i="7"/>
  <c r="G38" i="7"/>
  <c r="H38" i="7"/>
  <c r="I38" i="7" s="1"/>
  <c r="E37" i="7"/>
  <c r="F37" i="7"/>
  <c r="G37" i="7"/>
  <c r="H37" i="7"/>
  <c r="I37" i="7" s="1"/>
  <c r="E36" i="7"/>
  <c r="F36" i="7"/>
  <c r="I36" i="7" s="1"/>
  <c r="H36" i="7"/>
  <c r="G36" i="7"/>
  <c r="F35" i="7"/>
  <c r="G35" i="7"/>
  <c r="E35" i="7"/>
  <c r="E34" i="7"/>
  <c r="F34" i="7"/>
  <c r="H34" i="7"/>
  <c r="G34" i="7"/>
  <c r="E33" i="7"/>
  <c r="I33" i="7" s="1"/>
  <c r="F33" i="7"/>
  <c r="G33" i="7"/>
  <c r="H33" i="7"/>
  <c r="G32" i="7"/>
  <c r="E32" i="7"/>
  <c r="F32" i="7"/>
  <c r="H32" i="7" s="1"/>
  <c r="I32" i="7" s="1"/>
  <c r="G31" i="7"/>
  <c r="E31" i="7"/>
  <c r="F31" i="7"/>
  <c r="G30" i="7"/>
  <c r="E30" i="7"/>
  <c r="F30" i="7"/>
  <c r="H30" i="7"/>
  <c r="I30" i="7"/>
  <c r="E29" i="7"/>
  <c r="G29" i="7"/>
  <c r="H29" i="7"/>
  <c r="F29" i="7"/>
  <c r="I29" i="7"/>
  <c r="F28" i="7"/>
  <c r="E28" i="7"/>
  <c r="G28" i="7"/>
  <c r="F27" i="7"/>
  <c r="E27" i="7"/>
  <c r="I27" i="7" s="1"/>
  <c r="G27" i="7"/>
  <c r="H27" i="7"/>
  <c r="F26" i="7"/>
  <c r="G26" i="7"/>
  <c r="E26" i="7"/>
  <c r="H26" i="7"/>
  <c r="E25" i="7"/>
  <c r="F25" i="7"/>
  <c r="H25" i="7" s="1"/>
  <c r="I25" i="7" s="1"/>
  <c r="G25" i="7"/>
  <c r="E24" i="7"/>
  <c r="G24" i="7"/>
  <c r="F24" i="7"/>
  <c r="H24" i="7" s="1"/>
  <c r="I24" i="7" s="1"/>
  <c r="F23" i="7"/>
  <c r="H23" i="7"/>
  <c r="E23" i="7"/>
  <c r="G23" i="7"/>
  <c r="I23" i="7" s="1"/>
  <c r="G22" i="7"/>
  <c r="E22" i="7"/>
  <c r="F22" i="7"/>
  <c r="H22" i="7"/>
  <c r="I22" i="7"/>
  <c r="D102" i="7"/>
  <c r="D101" i="7"/>
  <c r="D100" i="7"/>
  <c r="R32" i="5"/>
  <c r="B16" i="1"/>
  <c r="V32" i="11"/>
  <c r="W32" i="11" s="1"/>
  <c r="D99" i="7"/>
  <c r="D98" i="7"/>
  <c r="D97" i="7"/>
  <c r="D96" i="7"/>
  <c r="R31" i="5"/>
  <c r="V31" i="11"/>
  <c r="W31" i="11" s="1"/>
  <c r="D95" i="7"/>
  <c r="D94" i="7"/>
  <c r="D93" i="7"/>
  <c r="D92" i="7"/>
  <c r="R30" i="5"/>
  <c r="V30" i="11"/>
  <c r="W30" i="11" s="1"/>
  <c r="D91" i="7"/>
  <c r="D90" i="7"/>
  <c r="D89" i="7"/>
  <c r="R29" i="5"/>
  <c r="B11" i="1"/>
  <c r="V29" i="11"/>
  <c r="W29" i="11" s="1"/>
  <c r="D88" i="7"/>
  <c r="D87" i="7"/>
  <c r="D86" i="7"/>
  <c r="R28" i="5"/>
  <c r="V28" i="11"/>
  <c r="D85" i="7"/>
  <c r="D84" i="7"/>
  <c r="D83" i="7"/>
  <c r="D82" i="7"/>
  <c r="R27" i="5"/>
  <c r="V27" i="11"/>
  <c r="D81" i="7"/>
  <c r="D80" i="7"/>
  <c r="D79" i="7"/>
  <c r="D78" i="7"/>
  <c r="R26" i="5"/>
  <c r="V26" i="11"/>
  <c r="D77" i="7"/>
  <c r="D76" i="7"/>
  <c r="R25" i="5"/>
  <c r="B10" i="1"/>
  <c r="V25" i="11"/>
  <c r="D75" i="7"/>
  <c r="D74" i="7"/>
  <c r="D73" i="7"/>
  <c r="D72" i="7"/>
  <c r="D71" i="7"/>
  <c r="R24" i="5"/>
  <c r="V24" i="11"/>
  <c r="D70" i="7"/>
  <c r="D69" i="7"/>
  <c r="D68" i="7"/>
  <c r="R23" i="5"/>
  <c r="V23" i="11"/>
  <c r="D67" i="7"/>
  <c r="D66" i="7"/>
  <c r="D65" i="7"/>
  <c r="R22" i="5"/>
  <c r="V22" i="11"/>
  <c r="D64" i="7"/>
  <c r="D63" i="7"/>
  <c r="D62" i="7"/>
  <c r="R21" i="5"/>
  <c r="V21" i="11"/>
  <c r="B9" i="1"/>
  <c r="D9" i="1" s="1"/>
  <c r="D61" i="7"/>
  <c r="D60" i="7"/>
  <c r="R20" i="5"/>
  <c r="V20" i="11"/>
  <c r="R19" i="5"/>
  <c r="V19" i="11"/>
  <c r="W19" i="11" s="1"/>
  <c r="R18" i="5"/>
  <c r="V18" i="11"/>
  <c r="W18" i="11" s="1"/>
  <c r="R17" i="5"/>
  <c r="V17" i="11"/>
  <c r="W17" i="11" s="1"/>
  <c r="B8" i="1"/>
  <c r="R16" i="5"/>
  <c r="V16" i="11"/>
  <c r="W16" i="11" s="1"/>
  <c r="R15" i="5"/>
  <c r="V15" i="11"/>
  <c r="W15" i="11" s="1"/>
  <c r="R14" i="5"/>
  <c r="V14" i="11"/>
  <c r="W14" i="11" s="1"/>
  <c r="R13" i="5"/>
  <c r="V13" i="11"/>
  <c r="B7" i="1"/>
  <c r="R12" i="5"/>
  <c r="V12" i="11"/>
  <c r="W12" i="11" s="1"/>
  <c r="R11" i="5"/>
  <c r="V11" i="11"/>
  <c r="W11" i="11" s="1"/>
  <c r="R10" i="5"/>
  <c r="V10" i="11"/>
  <c r="W10" i="11" s="1"/>
  <c r="D21" i="7"/>
  <c r="D20" i="7"/>
  <c r="D19" i="7"/>
  <c r="R9" i="5"/>
  <c r="B6" i="1"/>
  <c r="D6" i="1" s="1"/>
  <c r="V9" i="11"/>
  <c r="W9" i="11" s="1"/>
  <c r="D18" i="7"/>
  <c r="D17" i="7"/>
  <c r="D16" i="7"/>
  <c r="R8" i="5"/>
  <c r="V8" i="11"/>
  <c r="W8" i="11" s="1"/>
  <c r="D15" i="7"/>
  <c r="D14" i="7"/>
  <c r="D13" i="7"/>
  <c r="D12" i="7"/>
  <c r="R7" i="5"/>
  <c r="V7" i="11"/>
  <c r="W7" i="11" s="1"/>
  <c r="D11" i="7"/>
  <c r="D10" i="7"/>
  <c r="D9" i="7"/>
  <c r="D8" i="7"/>
  <c r="R6" i="5"/>
  <c r="V6" i="11"/>
  <c r="W6" i="11" s="1"/>
  <c r="Q33" i="5"/>
  <c r="C5" i="1"/>
  <c r="D7" i="7"/>
  <c r="D6" i="7"/>
  <c r="D5" i="7"/>
  <c r="R5" i="5"/>
  <c r="M33" i="5"/>
  <c r="V5" i="11"/>
  <c r="B5" i="1"/>
  <c r="F5" i="1" s="1"/>
  <c r="F6" i="1"/>
  <c r="B15" i="1"/>
  <c r="F9" i="1"/>
  <c r="F10" i="1"/>
  <c r="J55" i="8"/>
  <c r="J38" i="8"/>
  <c r="J22" i="8"/>
  <c r="C10" i="1"/>
  <c r="J5" i="8"/>
  <c r="J8" i="12"/>
  <c r="Q24" i="6"/>
  <c r="Q25" i="6"/>
  <c r="Q26" i="6"/>
  <c r="Q27" i="6"/>
  <c r="Q28" i="6"/>
  <c r="Q29" i="6"/>
  <c r="Q30" i="6"/>
  <c r="Q31" i="6"/>
  <c r="Q32" i="6"/>
  <c r="G33" i="6"/>
  <c r="J15" i="12" l="1"/>
  <c r="J14" i="12"/>
  <c r="J39" i="12"/>
  <c r="J34" i="12"/>
  <c r="J5" i="12"/>
  <c r="J33" i="12"/>
  <c r="I34" i="7"/>
  <c r="I26" i="7"/>
  <c r="J58" i="8"/>
  <c r="J83" i="8"/>
  <c r="J80" i="8"/>
  <c r="J78" i="8"/>
  <c r="J77" i="8"/>
  <c r="J73" i="8"/>
  <c r="J8" i="8"/>
  <c r="J7" i="8"/>
  <c r="I59" i="7"/>
  <c r="L59" i="7" s="1"/>
  <c r="I47" i="7"/>
  <c r="I46" i="7"/>
  <c r="I42" i="7"/>
  <c r="W28" i="11"/>
  <c r="W27" i="11"/>
  <c r="W26" i="11"/>
  <c r="W25" i="11"/>
  <c r="W24" i="11"/>
  <c r="W23" i="11"/>
  <c r="W22" i="11"/>
  <c r="W21" i="11"/>
  <c r="W20" i="11"/>
  <c r="J46" i="12"/>
  <c r="W13" i="11"/>
  <c r="H39" i="7"/>
  <c r="I39" i="7" s="1"/>
  <c r="H28" i="7"/>
  <c r="I28" i="7" s="1"/>
  <c r="K72" i="8"/>
  <c r="L72" i="8"/>
  <c r="K51" i="12"/>
  <c r="L51" i="12"/>
  <c r="K22" i="12"/>
  <c r="L22" i="12"/>
  <c r="K21" i="12"/>
  <c r="L21" i="12"/>
  <c r="K20" i="12"/>
  <c r="L20" i="12"/>
  <c r="K19" i="12"/>
  <c r="L19" i="12"/>
  <c r="K18" i="12"/>
  <c r="L18" i="12"/>
  <c r="L45" i="12"/>
  <c r="K45" i="12"/>
  <c r="K17" i="12"/>
  <c r="L17" i="12"/>
  <c r="L11" i="12"/>
  <c r="K11" i="12"/>
  <c r="L36" i="12"/>
  <c r="K36" i="12"/>
  <c r="L41" i="7"/>
  <c r="K41" i="7"/>
  <c r="Z43" i="8" s="1"/>
  <c r="D11" i="1"/>
  <c r="F11" i="1"/>
  <c r="M51" i="12"/>
  <c r="N51" i="12" s="1"/>
  <c r="P51" i="12"/>
  <c r="Q51" i="12"/>
  <c r="T51" i="12"/>
  <c r="U51" i="12"/>
  <c r="M45" i="12"/>
  <c r="N45" i="12"/>
  <c r="P45" i="12"/>
  <c r="Q45" i="12"/>
  <c r="R45" i="12"/>
  <c r="U45" i="12"/>
  <c r="M43" i="12"/>
  <c r="N43" i="12" s="1"/>
  <c r="P43" i="12"/>
  <c r="Q43" i="12"/>
  <c r="R43" i="12"/>
  <c r="U43" i="12"/>
  <c r="M42" i="12"/>
  <c r="N42" i="12" s="1"/>
  <c r="P42" i="12"/>
  <c r="Q42" i="12"/>
  <c r="R42" i="12"/>
  <c r="U42" i="12"/>
  <c r="M41" i="12"/>
  <c r="N41" i="12" s="1"/>
  <c r="P41" i="12"/>
  <c r="Q41" i="12"/>
  <c r="R41" i="12"/>
  <c r="U41" i="12"/>
  <c r="M40" i="12"/>
  <c r="N40" i="12" s="1"/>
  <c r="P40" i="12"/>
  <c r="Q40" i="12"/>
  <c r="R40" i="12"/>
  <c r="U40" i="12"/>
  <c r="M38" i="12"/>
  <c r="N38" i="12"/>
  <c r="O38" i="12" s="1"/>
  <c r="U38" i="12" s="1"/>
  <c r="P38" i="12"/>
  <c r="Q38" i="12"/>
  <c r="R38" i="12"/>
  <c r="S38" i="12"/>
  <c r="T38" i="12"/>
  <c r="M37" i="12"/>
  <c r="N37" i="12" s="1"/>
  <c r="P37" i="12"/>
  <c r="Q37" i="12"/>
  <c r="R37" i="12"/>
  <c r="S37" i="12"/>
  <c r="M36" i="12"/>
  <c r="N36" i="12" s="1"/>
  <c r="P36" i="12"/>
  <c r="Q36" i="12"/>
  <c r="R36" i="12"/>
  <c r="S36" i="12"/>
  <c r="M35" i="12"/>
  <c r="N35" i="12" s="1"/>
  <c r="P35" i="12"/>
  <c r="Q35" i="12"/>
  <c r="R35" i="12"/>
  <c r="S35" i="12"/>
  <c r="M23" i="12"/>
  <c r="N23" i="12" s="1"/>
  <c r="P23" i="12"/>
  <c r="Q23" i="12"/>
  <c r="T23" i="12"/>
  <c r="U23" i="12"/>
  <c r="M22" i="12"/>
  <c r="N22" i="12" s="1"/>
  <c r="P22" i="12"/>
  <c r="Q22" i="12"/>
  <c r="T22" i="12"/>
  <c r="U22" i="12"/>
  <c r="M21" i="12"/>
  <c r="N21" i="12" s="1"/>
  <c r="P21" i="12"/>
  <c r="Q21" i="12"/>
  <c r="R21" i="12"/>
  <c r="U21" i="12"/>
  <c r="M20" i="12"/>
  <c r="N20" i="12" s="1"/>
  <c r="P20" i="12"/>
  <c r="Q20" i="12"/>
  <c r="R20" i="12"/>
  <c r="U20" i="12"/>
  <c r="M19" i="12"/>
  <c r="N19" i="12" s="1"/>
  <c r="P19" i="12"/>
  <c r="Q19" i="12"/>
  <c r="R19" i="12"/>
  <c r="U19" i="12"/>
  <c r="M18" i="12"/>
  <c r="N18" i="12"/>
  <c r="O18" i="12" s="1"/>
  <c r="T18" i="12" s="1"/>
  <c r="P18" i="12"/>
  <c r="Q18" i="12"/>
  <c r="R18" i="12"/>
  <c r="S18" i="12"/>
  <c r="U18" i="12"/>
  <c r="M17" i="12"/>
  <c r="N17" i="12" s="1"/>
  <c r="P17" i="12"/>
  <c r="Q17" i="12"/>
  <c r="R17" i="12"/>
  <c r="U17" i="12"/>
  <c r="M13" i="12"/>
  <c r="N13" i="12" s="1"/>
  <c r="P13" i="12"/>
  <c r="Q13" i="12"/>
  <c r="R13" i="12"/>
  <c r="U13" i="12"/>
  <c r="M12" i="12"/>
  <c r="N12" i="12"/>
  <c r="O12" i="12" s="1"/>
  <c r="T12" i="12" s="1"/>
  <c r="P12" i="12"/>
  <c r="Q12" i="12"/>
  <c r="R12" i="12"/>
  <c r="S12" i="12"/>
  <c r="U12" i="12"/>
  <c r="M11" i="12"/>
  <c r="N11" i="12" s="1"/>
  <c r="P11" i="12"/>
  <c r="Q11" i="12"/>
  <c r="R11" i="12"/>
  <c r="S11" i="12"/>
  <c r="M7" i="12"/>
  <c r="N7" i="12" s="1"/>
  <c r="P7" i="12"/>
  <c r="Q7" i="12"/>
  <c r="R7" i="12"/>
  <c r="S7" i="12"/>
  <c r="M6" i="12"/>
  <c r="N6" i="12" s="1"/>
  <c r="P6" i="12"/>
  <c r="Q6" i="12"/>
  <c r="R6" i="12"/>
  <c r="S6" i="12"/>
  <c r="K28" i="12"/>
  <c r="L28" i="12"/>
  <c r="M89" i="8"/>
  <c r="N89" i="8" s="1"/>
  <c r="P89" i="8"/>
  <c r="Q89" i="8"/>
  <c r="T89" i="8"/>
  <c r="U89" i="8"/>
  <c r="K84" i="8"/>
  <c r="L84" i="8"/>
  <c r="L83" i="8"/>
  <c r="K83" i="8"/>
  <c r="L82" i="8"/>
  <c r="K82" i="8"/>
  <c r="K80" i="8"/>
  <c r="L80" i="8"/>
  <c r="L79" i="8"/>
  <c r="K79" i="8"/>
  <c r="L78" i="8"/>
  <c r="K78" i="8"/>
  <c r="K77" i="8"/>
  <c r="L77" i="8"/>
  <c r="K76" i="8"/>
  <c r="L76" i="8"/>
  <c r="K75" i="8"/>
  <c r="L75" i="8"/>
  <c r="K74" i="8"/>
  <c r="L74" i="8"/>
  <c r="K73" i="8"/>
  <c r="L73" i="8"/>
  <c r="M72" i="8"/>
  <c r="N72" i="8"/>
  <c r="P72" i="8"/>
  <c r="S72" i="8"/>
  <c r="T72" i="8"/>
  <c r="U72" i="8"/>
  <c r="K71" i="8"/>
  <c r="L71" i="8"/>
  <c r="K70" i="8"/>
  <c r="L70" i="8"/>
  <c r="K69" i="8"/>
  <c r="L69" i="8"/>
  <c r="K68" i="8"/>
  <c r="L68" i="8"/>
  <c r="K67" i="8"/>
  <c r="L67" i="8"/>
  <c r="K65" i="8"/>
  <c r="L65" i="8"/>
  <c r="K64" i="8"/>
  <c r="L64" i="8"/>
  <c r="K63" i="8"/>
  <c r="L63" i="8"/>
  <c r="K62" i="8"/>
  <c r="L62" i="8"/>
  <c r="K61" i="8"/>
  <c r="L61" i="8"/>
  <c r="K60" i="8"/>
  <c r="L60" i="8"/>
  <c r="K59" i="8"/>
  <c r="L59" i="8"/>
  <c r="K58" i="8"/>
  <c r="L58" i="8"/>
  <c r="K8" i="8"/>
  <c r="L8" i="8"/>
  <c r="K7" i="8"/>
  <c r="L7" i="8"/>
  <c r="K6" i="8"/>
  <c r="L6" i="8"/>
  <c r="J59" i="7"/>
  <c r="K59" i="7" s="1"/>
  <c r="Z68" i="8" s="1"/>
  <c r="J58" i="7"/>
  <c r="K58" i="7"/>
  <c r="Z48" i="8" s="1"/>
  <c r="L58" i="7"/>
  <c r="J55" i="7"/>
  <c r="K55" i="7" s="1"/>
  <c r="Z47" i="8" s="1"/>
  <c r="L55" i="7"/>
  <c r="J54" i="7"/>
  <c r="J53" i="7"/>
  <c r="K53" i="7" s="1"/>
  <c r="Z88" i="8" s="1"/>
  <c r="L53" i="7"/>
  <c r="J52" i="7"/>
  <c r="J51" i="7"/>
  <c r="J50" i="7"/>
  <c r="K50" i="7" s="1"/>
  <c r="Z18" i="8" s="1"/>
  <c r="G34" i="3" s="1"/>
  <c r="L50" i="7"/>
  <c r="J48" i="7"/>
  <c r="L48" i="7" s="1"/>
  <c r="K48" i="7"/>
  <c r="Z45" i="8" s="1"/>
  <c r="J47" i="7"/>
  <c r="J46" i="7"/>
  <c r="K46" i="7" s="1"/>
  <c r="Z86" i="8" s="1"/>
  <c r="L46" i="7"/>
  <c r="J43" i="7"/>
  <c r="L43" i="7"/>
  <c r="K43" i="7"/>
  <c r="Z16" i="8" s="1"/>
  <c r="G32" i="3" s="1"/>
  <c r="J42" i="7"/>
  <c r="K42" i="7"/>
  <c r="Z85" i="8" s="1"/>
  <c r="L42" i="7"/>
  <c r="J40" i="7"/>
  <c r="K40" i="7"/>
  <c r="Z15" i="8" s="1"/>
  <c r="G31" i="3" s="1"/>
  <c r="L40" i="7"/>
  <c r="J39" i="7"/>
  <c r="K39" i="7"/>
  <c r="Z84" i="8" s="1"/>
  <c r="L39" i="7"/>
  <c r="J38" i="7"/>
  <c r="L38" i="7" s="1"/>
  <c r="K38" i="7"/>
  <c r="Z65" i="8" s="1"/>
  <c r="J37" i="7"/>
  <c r="K37" i="7"/>
  <c r="Z42" i="8" s="1"/>
  <c r="L37" i="7"/>
  <c r="J36" i="7"/>
  <c r="K36" i="7"/>
  <c r="Z14" i="8" s="1"/>
  <c r="G30" i="3" s="1"/>
  <c r="L36" i="7"/>
  <c r="J35" i="7"/>
  <c r="K35" i="7"/>
  <c r="Z83" i="8" s="1"/>
  <c r="L35" i="7"/>
  <c r="J34" i="7"/>
  <c r="K34" i="7"/>
  <c r="Z41" i="8" s="1"/>
  <c r="L34" i="7"/>
  <c r="J33" i="7"/>
  <c r="K33" i="7"/>
  <c r="Z13" i="8" s="1"/>
  <c r="G29" i="3" s="1"/>
  <c r="L33" i="7"/>
  <c r="J32" i="7"/>
  <c r="L32" i="7"/>
  <c r="K32" i="7"/>
  <c r="Z82" i="8" s="1"/>
  <c r="J30" i="7"/>
  <c r="L30" i="7" s="1"/>
  <c r="K30" i="7"/>
  <c r="Z40" i="8" s="1"/>
  <c r="J29" i="7"/>
  <c r="K29" i="7"/>
  <c r="Z12" i="8" s="1"/>
  <c r="G28" i="3" s="1"/>
  <c r="L29" i="7"/>
  <c r="J28" i="7"/>
  <c r="L28" i="7"/>
  <c r="K28" i="7"/>
  <c r="Z81" i="8" s="1"/>
  <c r="J27" i="7"/>
  <c r="K27" i="7"/>
  <c r="Z39" i="8" s="1"/>
  <c r="L27" i="7"/>
  <c r="J26" i="7"/>
  <c r="K26" i="7"/>
  <c r="Z11" i="8" s="1"/>
  <c r="G27" i="3" s="1"/>
  <c r="L26" i="7"/>
  <c r="J25" i="7"/>
  <c r="K25" i="7"/>
  <c r="Z80" i="8" s="1"/>
  <c r="L25" i="7"/>
  <c r="J24" i="7"/>
  <c r="K24" i="7"/>
  <c r="Z63" i="8" s="1"/>
  <c r="L24" i="7"/>
  <c r="J23" i="7"/>
  <c r="K23" i="7" s="1"/>
  <c r="Z38" i="8" s="1"/>
  <c r="L23" i="7"/>
  <c r="J22" i="7"/>
  <c r="K22" i="7"/>
  <c r="Z10" i="8" s="1"/>
  <c r="G26" i="3" s="1"/>
  <c r="L22" i="7"/>
  <c r="E102" i="7"/>
  <c r="F102" i="7"/>
  <c r="G102" i="7"/>
  <c r="H102" i="7"/>
  <c r="I102" i="7"/>
  <c r="E101" i="7"/>
  <c r="F101" i="7"/>
  <c r="G101" i="7"/>
  <c r="H101" i="7"/>
  <c r="I101" i="7"/>
  <c r="E100" i="7"/>
  <c r="F100" i="7"/>
  <c r="G100" i="7"/>
  <c r="H100" i="7"/>
  <c r="I100" i="7"/>
  <c r="E99" i="7"/>
  <c r="F99" i="7"/>
  <c r="G99" i="7"/>
  <c r="H99" i="7"/>
  <c r="I99" i="7"/>
  <c r="E98" i="7"/>
  <c r="F98" i="7"/>
  <c r="G98" i="7"/>
  <c r="H98" i="7"/>
  <c r="I98" i="7"/>
  <c r="E97" i="7"/>
  <c r="F97" i="7"/>
  <c r="E96" i="7"/>
  <c r="F96" i="7"/>
  <c r="G96" i="7"/>
  <c r="H96" i="7"/>
  <c r="I96" i="7"/>
  <c r="E95" i="7"/>
  <c r="F95" i="7"/>
  <c r="G95" i="7"/>
  <c r="H95" i="7"/>
  <c r="I95" i="7"/>
  <c r="E94" i="7"/>
  <c r="F94" i="7"/>
  <c r="G94" i="7"/>
  <c r="H94" i="7"/>
  <c r="I94" i="7"/>
  <c r="E93" i="7"/>
  <c r="F93" i="7"/>
  <c r="G93" i="7"/>
  <c r="H93" i="7"/>
  <c r="I93" i="7"/>
  <c r="E92" i="7"/>
  <c r="I92" i="7" s="1"/>
  <c r="F92" i="7"/>
  <c r="G92" i="7"/>
  <c r="H92" i="7"/>
  <c r="E91" i="7"/>
  <c r="F91" i="7"/>
  <c r="G91" i="7"/>
  <c r="H91" i="7"/>
  <c r="I91" i="7"/>
  <c r="E90" i="7"/>
  <c r="F90" i="7"/>
  <c r="G90" i="7"/>
  <c r="H90" i="7"/>
  <c r="I90" i="7"/>
  <c r="E89" i="7"/>
  <c r="F89" i="7"/>
  <c r="G89" i="7"/>
  <c r="H89" i="7"/>
  <c r="I89" i="7"/>
  <c r="E88" i="7"/>
  <c r="F88" i="7"/>
  <c r="G88" i="7"/>
  <c r="H88" i="7"/>
  <c r="I88" i="7"/>
  <c r="E87" i="7"/>
  <c r="F87" i="7"/>
  <c r="G87" i="7"/>
  <c r="H87" i="7"/>
  <c r="I87" i="7"/>
  <c r="E86" i="7"/>
  <c r="F86" i="7"/>
  <c r="G86" i="7"/>
  <c r="H86" i="7"/>
  <c r="I86" i="7"/>
  <c r="E85" i="7"/>
  <c r="F85" i="7"/>
  <c r="G85" i="7"/>
  <c r="H85" i="7"/>
  <c r="I85" i="7"/>
  <c r="E84" i="7"/>
  <c r="E83" i="7"/>
  <c r="F83" i="7"/>
  <c r="G83" i="7"/>
  <c r="H83" i="7"/>
  <c r="I83" i="7"/>
  <c r="E82" i="7"/>
  <c r="F82" i="7"/>
  <c r="G82" i="7"/>
  <c r="H82" i="7"/>
  <c r="I82" i="7"/>
  <c r="E81" i="7"/>
  <c r="F81" i="7"/>
  <c r="G81" i="7"/>
  <c r="H81" i="7"/>
  <c r="I81" i="7"/>
  <c r="E80" i="7"/>
  <c r="F80" i="7"/>
  <c r="G80" i="7"/>
  <c r="H80" i="7"/>
  <c r="I80" i="7"/>
  <c r="E79" i="7"/>
  <c r="F79" i="7"/>
  <c r="G79" i="7"/>
  <c r="H79" i="7"/>
  <c r="I79" i="7"/>
  <c r="E78" i="7"/>
  <c r="F78" i="7"/>
  <c r="G78" i="7"/>
  <c r="H78" i="7"/>
  <c r="I78" i="7"/>
  <c r="E77" i="7"/>
  <c r="F77" i="7"/>
  <c r="G77" i="7"/>
  <c r="H77" i="7"/>
  <c r="I77" i="7"/>
  <c r="E76" i="7"/>
  <c r="F76" i="7"/>
  <c r="G76" i="7"/>
  <c r="H76" i="7"/>
  <c r="I76" i="7"/>
  <c r="E75" i="7"/>
  <c r="F75" i="7"/>
  <c r="G75" i="7"/>
  <c r="H75" i="7"/>
  <c r="I75" i="7"/>
  <c r="E74" i="7"/>
  <c r="F74" i="7"/>
  <c r="G74" i="7"/>
  <c r="H74" i="7"/>
  <c r="I74" i="7"/>
  <c r="E73" i="7"/>
  <c r="F73" i="7"/>
  <c r="G73" i="7"/>
  <c r="H73" i="7"/>
  <c r="I73" i="7"/>
  <c r="E72" i="7"/>
  <c r="F72" i="7"/>
  <c r="G72" i="7"/>
  <c r="H72" i="7"/>
  <c r="I72" i="7"/>
  <c r="E71" i="7"/>
  <c r="F71" i="7"/>
  <c r="G71" i="7"/>
  <c r="H71" i="7"/>
  <c r="I71" i="7"/>
  <c r="E70" i="7"/>
  <c r="F70" i="7"/>
  <c r="G70" i="7"/>
  <c r="H70" i="7"/>
  <c r="I70" i="7"/>
  <c r="E69" i="7"/>
  <c r="F69" i="7"/>
  <c r="G69" i="7"/>
  <c r="H69" i="7"/>
  <c r="I69" i="7"/>
  <c r="E68" i="7"/>
  <c r="F68" i="7"/>
  <c r="G68" i="7"/>
  <c r="H68" i="7"/>
  <c r="I68" i="7"/>
  <c r="E67" i="7"/>
  <c r="F67" i="7"/>
  <c r="E66" i="7"/>
  <c r="F66" i="7"/>
  <c r="G66" i="7"/>
  <c r="H66" i="7"/>
  <c r="I66" i="7"/>
  <c r="E65" i="7"/>
  <c r="F65" i="7"/>
  <c r="G65" i="7"/>
  <c r="H65" i="7"/>
  <c r="I65" i="7"/>
  <c r="E64" i="7"/>
  <c r="F64" i="7"/>
  <c r="G64" i="7"/>
  <c r="H64" i="7"/>
  <c r="I64" i="7"/>
  <c r="E63" i="7"/>
  <c r="F63" i="7"/>
  <c r="G63" i="7"/>
  <c r="H63" i="7"/>
  <c r="I63" i="7"/>
  <c r="E62" i="7"/>
  <c r="F62" i="7"/>
  <c r="G62" i="7"/>
  <c r="H62" i="7"/>
  <c r="I62" i="7"/>
  <c r="E61" i="7"/>
  <c r="F61" i="7"/>
  <c r="G61" i="7"/>
  <c r="H61" i="7"/>
  <c r="I61" i="7"/>
  <c r="E60" i="7"/>
  <c r="F60" i="7"/>
  <c r="G60" i="7"/>
  <c r="H60" i="7"/>
  <c r="I60" i="7"/>
  <c r="E21" i="7"/>
  <c r="F21" i="7"/>
  <c r="G21" i="7"/>
  <c r="H21" i="7"/>
  <c r="I21" i="7"/>
  <c r="E20" i="7"/>
  <c r="F20" i="7"/>
  <c r="G20" i="7"/>
  <c r="H20" i="7"/>
  <c r="I20" i="7"/>
  <c r="E19" i="7"/>
  <c r="F19" i="7"/>
  <c r="G19" i="7"/>
  <c r="H19" i="7"/>
  <c r="I19" i="7"/>
  <c r="E18" i="7"/>
  <c r="F18" i="7"/>
  <c r="G18" i="7"/>
  <c r="H18" i="7"/>
  <c r="I18" i="7"/>
  <c r="E17" i="7"/>
  <c r="F17" i="7"/>
  <c r="G17" i="7"/>
  <c r="H17" i="7"/>
  <c r="I17" i="7"/>
  <c r="E16" i="7"/>
  <c r="F16" i="7"/>
  <c r="G16" i="7"/>
  <c r="H16" i="7"/>
  <c r="I16" i="7"/>
  <c r="E15" i="7"/>
  <c r="F15" i="7"/>
  <c r="G15" i="7"/>
  <c r="H15" i="7"/>
  <c r="I15" i="7"/>
  <c r="E14" i="7"/>
  <c r="F14" i="7"/>
  <c r="G14" i="7"/>
  <c r="H14" i="7"/>
  <c r="I14" i="7"/>
  <c r="E13" i="7"/>
  <c r="F13" i="7"/>
  <c r="G13" i="7"/>
  <c r="H13" i="7"/>
  <c r="I13" i="7"/>
  <c r="E12" i="7"/>
  <c r="F12" i="7"/>
  <c r="G12" i="7"/>
  <c r="H12" i="7"/>
  <c r="I12" i="7"/>
  <c r="E11" i="7"/>
  <c r="F11" i="7"/>
  <c r="G11" i="7"/>
  <c r="H11" i="7"/>
  <c r="I11" i="7"/>
  <c r="E10" i="7"/>
  <c r="F10" i="7"/>
  <c r="G10" i="7"/>
  <c r="H10" i="7"/>
  <c r="I10" i="7"/>
  <c r="E9" i="7"/>
  <c r="F9" i="7"/>
  <c r="G9" i="7"/>
  <c r="H9" i="7"/>
  <c r="I9" i="7"/>
  <c r="E8" i="7"/>
  <c r="F8" i="7"/>
  <c r="G8" i="7"/>
  <c r="H8" i="7"/>
  <c r="I8" i="7"/>
  <c r="E7" i="7"/>
  <c r="F7" i="7"/>
  <c r="G7" i="7"/>
  <c r="H7" i="7"/>
  <c r="I7" i="7"/>
  <c r="E6" i="7"/>
  <c r="F6" i="7"/>
  <c r="G6" i="7"/>
  <c r="H6" i="7"/>
  <c r="I6" i="7"/>
  <c r="E5" i="7"/>
  <c r="F5" i="7"/>
  <c r="G5" i="7"/>
  <c r="H5" i="7"/>
  <c r="I5" i="7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2" i="5"/>
  <c r="B19" i="1" s="1"/>
  <c r="R33" i="5"/>
  <c r="S30" i="5"/>
  <c r="S31" i="5"/>
  <c r="W5" i="11"/>
  <c r="V33" i="11"/>
  <c r="D5" i="1"/>
  <c r="B12" i="1"/>
  <c r="L55" i="8"/>
  <c r="K55" i="8"/>
  <c r="L38" i="8"/>
  <c r="K38" i="8"/>
  <c r="L22" i="8"/>
  <c r="K22" i="8"/>
  <c r="L5" i="8"/>
  <c r="K5" i="8"/>
  <c r="L50" i="12"/>
  <c r="K50" i="12"/>
  <c r="L49" i="12"/>
  <c r="K49" i="12"/>
  <c r="L48" i="12"/>
  <c r="K48" i="12"/>
  <c r="L47" i="12"/>
  <c r="K47" i="12"/>
  <c r="L16" i="12"/>
  <c r="K16" i="12"/>
  <c r="L9" i="12"/>
  <c r="K9" i="12"/>
  <c r="L8" i="12"/>
  <c r="K8" i="12"/>
  <c r="J32" i="12"/>
  <c r="J60" i="12"/>
  <c r="J31" i="12"/>
  <c r="J59" i="12"/>
  <c r="J58" i="12"/>
  <c r="J30" i="12"/>
  <c r="J57" i="12"/>
  <c r="J29" i="12"/>
  <c r="J56" i="12"/>
  <c r="J55" i="12"/>
  <c r="J27" i="12"/>
  <c r="J54" i="12"/>
  <c r="J26" i="12"/>
  <c r="J53" i="12"/>
  <c r="J25" i="12"/>
  <c r="J24" i="12"/>
  <c r="J52" i="12"/>
  <c r="J44" i="12"/>
  <c r="J10" i="12"/>
  <c r="T33" i="11"/>
  <c r="U33" i="11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8" i="8"/>
  <c r="J87" i="8"/>
  <c r="J86" i="8"/>
  <c r="J85" i="8"/>
  <c r="J81" i="8"/>
  <c r="J66" i="8"/>
  <c r="J57" i="8"/>
  <c r="J56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D10" i="1"/>
  <c r="C12" i="1"/>
  <c r="H57" i="7"/>
  <c r="I57" i="7"/>
  <c r="H56" i="7"/>
  <c r="H53" i="7"/>
  <c r="I53" i="7"/>
  <c r="H52" i="7"/>
  <c r="I52" i="7"/>
  <c r="G49" i="7"/>
  <c r="H49" i="7"/>
  <c r="I49" i="7" s="1"/>
  <c r="H48" i="7"/>
  <c r="I48" i="7"/>
  <c r="H45" i="7"/>
  <c r="H44" i="7"/>
  <c r="I44" i="7"/>
  <c r="H35" i="7"/>
  <c r="I35" i="7"/>
  <c r="H31" i="7"/>
  <c r="I31" i="7" s="1"/>
  <c r="D8" i="1"/>
  <c r="F8" i="1"/>
  <c r="D7" i="1"/>
  <c r="F7" i="1"/>
  <c r="L15" i="12" l="1"/>
  <c r="K15" i="12"/>
  <c r="L14" i="12"/>
  <c r="K14" i="12"/>
  <c r="L39" i="12"/>
  <c r="K39" i="12"/>
  <c r="L34" i="12"/>
  <c r="K34" i="12"/>
  <c r="L5" i="12"/>
  <c r="K5" i="12"/>
  <c r="L33" i="12"/>
  <c r="K33" i="12"/>
  <c r="L46" i="12"/>
  <c r="K46" i="12"/>
  <c r="C19" i="4"/>
  <c r="C18" i="4"/>
  <c r="C17" i="4"/>
  <c r="C16" i="4"/>
  <c r="R51" i="12"/>
  <c r="O51" i="12"/>
  <c r="S43" i="12"/>
  <c r="O43" i="12"/>
  <c r="S42" i="12"/>
  <c r="O42" i="12"/>
  <c r="S17" i="12"/>
  <c r="O17" i="12"/>
  <c r="O13" i="12"/>
  <c r="S13" i="12"/>
  <c r="T11" i="12"/>
  <c r="O11" i="12"/>
  <c r="T7" i="12"/>
  <c r="O7" i="12"/>
  <c r="T6" i="12"/>
  <c r="O6" i="12"/>
  <c r="O89" i="8"/>
  <c r="R89" i="8"/>
  <c r="O72" i="8"/>
  <c r="Q72" i="8"/>
  <c r="K51" i="7"/>
  <c r="Z46" i="8" s="1"/>
  <c r="L51" i="7"/>
  <c r="L47" i="7"/>
  <c r="K47" i="7"/>
  <c r="Z17" i="8" s="1"/>
  <c r="G33" i="3" s="1"/>
  <c r="G67" i="7"/>
  <c r="H67" i="7"/>
  <c r="I67" i="7"/>
  <c r="V51" i="12"/>
  <c r="W51" i="12"/>
  <c r="X51" i="12" s="1"/>
  <c r="V38" i="12"/>
  <c r="W38" i="12"/>
  <c r="X38" i="12" s="1"/>
  <c r="V18" i="12"/>
  <c r="W18" i="12"/>
  <c r="X18" i="12" s="1"/>
  <c r="V12" i="12"/>
  <c r="W12" i="12"/>
  <c r="X12" i="12" s="1"/>
  <c r="M28" i="12"/>
  <c r="N28" i="12"/>
  <c r="O28" i="12"/>
  <c r="P28" i="12"/>
  <c r="Q28" i="12"/>
  <c r="R28" i="12"/>
  <c r="S28" i="12"/>
  <c r="T28" i="12"/>
  <c r="U28" i="12"/>
  <c r="M84" i="8"/>
  <c r="P84" i="8"/>
  <c r="R84" i="8"/>
  <c r="U84" i="8"/>
  <c r="N84" i="8"/>
  <c r="S84" i="8" s="1"/>
  <c r="O84" i="8"/>
  <c r="T84" i="8" s="1"/>
  <c r="Q84" i="8"/>
  <c r="M83" i="8"/>
  <c r="N83" i="8"/>
  <c r="P83" i="8"/>
  <c r="R83" i="8"/>
  <c r="S83" i="8"/>
  <c r="U83" i="8"/>
  <c r="O83" i="8"/>
  <c r="T83" i="8" s="1"/>
  <c r="Q83" i="8"/>
  <c r="M82" i="8"/>
  <c r="Q82" i="8"/>
  <c r="U82" i="8"/>
  <c r="N82" i="8"/>
  <c r="P82" i="8"/>
  <c r="R82" i="8"/>
  <c r="M80" i="8"/>
  <c r="N80" i="8"/>
  <c r="O80" i="8"/>
  <c r="P80" i="8"/>
  <c r="Q80" i="8"/>
  <c r="R80" i="8"/>
  <c r="S80" i="8"/>
  <c r="T80" i="8"/>
  <c r="U80" i="8"/>
  <c r="M79" i="8"/>
  <c r="N79" i="8"/>
  <c r="P79" i="8"/>
  <c r="R79" i="8"/>
  <c r="T79" i="8"/>
  <c r="O79" i="8"/>
  <c r="Q79" i="8"/>
  <c r="S79" i="8"/>
  <c r="U79" i="8"/>
  <c r="M78" i="8"/>
  <c r="N78" i="8" s="1"/>
  <c r="P78" i="8"/>
  <c r="Q78" i="8"/>
  <c r="R78" i="8"/>
  <c r="S78" i="8"/>
  <c r="M77" i="8"/>
  <c r="Q77" i="8"/>
  <c r="S77" i="8"/>
  <c r="N77" i="8"/>
  <c r="O77" i="8" s="1"/>
  <c r="P77" i="8"/>
  <c r="R77" i="8"/>
  <c r="T77" i="8"/>
  <c r="M76" i="8"/>
  <c r="P76" i="8"/>
  <c r="R76" i="8"/>
  <c r="S76" i="8"/>
  <c r="N76" i="8"/>
  <c r="O76" i="8"/>
  <c r="U76" i="8" s="1"/>
  <c r="Q76" i="8"/>
  <c r="T76" i="8"/>
  <c r="P75" i="8"/>
  <c r="R75" i="8"/>
  <c r="M75" i="8"/>
  <c r="N75" i="8" s="1"/>
  <c r="Q75" i="8"/>
  <c r="S75" i="8"/>
  <c r="D9" i="3" s="1"/>
  <c r="R74" i="8"/>
  <c r="T74" i="8"/>
  <c r="M74" i="8"/>
  <c r="N74" i="8" s="1"/>
  <c r="S74" i="8"/>
  <c r="U74" i="8"/>
  <c r="M73" i="8"/>
  <c r="T73" i="8"/>
  <c r="U73" i="8"/>
  <c r="N73" i="8"/>
  <c r="O73" i="8" s="1"/>
  <c r="P73" i="8"/>
  <c r="Q73" i="8"/>
  <c r="S73" i="8"/>
  <c r="M71" i="8"/>
  <c r="N71" i="8"/>
  <c r="O71" i="8"/>
  <c r="P71" i="8"/>
  <c r="Q71" i="8"/>
  <c r="R71" i="8"/>
  <c r="S71" i="8"/>
  <c r="T71" i="8"/>
  <c r="U71" i="8"/>
  <c r="M70" i="8"/>
  <c r="N70" i="8"/>
  <c r="O70" i="8"/>
  <c r="P70" i="8"/>
  <c r="Q70" i="8"/>
  <c r="R70" i="8"/>
  <c r="S70" i="8"/>
  <c r="T70" i="8"/>
  <c r="U70" i="8"/>
  <c r="M69" i="8"/>
  <c r="N69" i="8"/>
  <c r="O69" i="8"/>
  <c r="P69" i="8"/>
  <c r="Q69" i="8"/>
  <c r="R69" i="8"/>
  <c r="S69" i="8"/>
  <c r="T69" i="8"/>
  <c r="U69" i="8"/>
  <c r="M68" i="8"/>
  <c r="N68" i="8"/>
  <c r="O68" i="8"/>
  <c r="P68" i="8"/>
  <c r="Q68" i="8"/>
  <c r="R68" i="8"/>
  <c r="S68" i="8"/>
  <c r="T68" i="8"/>
  <c r="U68" i="8"/>
  <c r="M67" i="8"/>
  <c r="N67" i="8"/>
  <c r="P67" i="8"/>
  <c r="Q67" i="8"/>
  <c r="T67" i="8"/>
  <c r="U67" i="8"/>
  <c r="M65" i="8"/>
  <c r="N65" i="8"/>
  <c r="O65" i="8"/>
  <c r="P65" i="8"/>
  <c r="Q65" i="8"/>
  <c r="R65" i="8"/>
  <c r="S65" i="8"/>
  <c r="T65" i="8"/>
  <c r="U65" i="8"/>
  <c r="M64" i="8"/>
  <c r="N64" i="8"/>
  <c r="O64" i="8"/>
  <c r="P64" i="8"/>
  <c r="Q64" i="8"/>
  <c r="R64" i="8"/>
  <c r="S64" i="8"/>
  <c r="T64" i="8"/>
  <c r="U64" i="8"/>
  <c r="M63" i="8"/>
  <c r="N63" i="8"/>
  <c r="O63" i="8"/>
  <c r="P63" i="8"/>
  <c r="Q63" i="8"/>
  <c r="R63" i="8"/>
  <c r="S63" i="8"/>
  <c r="T63" i="8"/>
  <c r="U63" i="8"/>
  <c r="M62" i="8"/>
  <c r="N62" i="8"/>
  <c r="O62" i="8"/>
  <c r="P62" i="8"/>
  <c r="Q62" i="8"/>
  <c r="R62" i="8"/>
  <c r="S62" i="8"/>
  <c r="T62" i="8"/>
  <c r="U62" i="8"/>
  <c r="M61" i="8"/>
  <c r="N61" i="8"/>
  <c r="O61" i="8"/>
  <c r="P61" i="8"/>
  <c r="Q61" i="8"/>
  <c r="R61" i="8"/>
  <c r="S61" i="8"/>
  <c r="D8" i="3" s="1"/>
  <c r="T61" i="8"/>
  <c r="C8" i="3" s="1"/>
  <c r="U61" i="8"/>
  <c r="B8" i="3" s="1"/>
  <c r="M60" i="8"/>
  <c r="N60" i="8"/>
  <c r="O60" i="8"/>
  <c r="P60" i="8"/>
  <c r="Q60" i="8"/>
  <c r="R60" i="8"/>
  <c r="S60" i="8"/>
  <c r="T60" i="8"/>
  <c r="U60" i="8"/>
  <c r="M59" i="8"/>
  <c r="N59" i="8"/>
  <c r="O59" i="8"/>
  <c r="P59" i="8"/>
  <c r="Q59" i="8"/>
  <c r="R59" i="8"/>
  <c r="S59" i="8"/>
  <c r="T59" i="8"/>
  <c r="U59" i="8"/>
  <c r="M58" i="8"/>
  <c r="N58" i="8"/>
  <c r="O58" i="8"/>
  <c r="P58" i="8"/>
  <c r="Q58" i="8"/>
  <c r="R58" i="8"/>
  <c r="S58" i="8"/>
  <c r="T58" i="8"/>
  <c r="U58" i="8"/>
  <c r="M8" i="8"/>
  <c r="N8" i="8"/>
  <c r="O8" i="8" s="1"/>
  <c r="U8" i="8" s="1"/>
  <c r="P8" i="8"/>
  <c r="Q8" i="8"/>
  <c r="R8" i="8"/>
  <c r="S8" i="8"/>
  <c r="T8" i="8"/>
  <c r="M7" i="8"/>
  <c r="N7" i="8"/>
  <c r="O7" i="8" s="1"/>
  <c r="U7" i="8" s="1"/>
  <c r="P7" i="8"/>
  <c r="Q7" i="8"/>
  <c r="R7" i="8"/>
  <c r="S7" i="8"/>
  <c r="T7" i="8"/>
  <c r="M6" i="8"/>
  <c r="N6" i="8" s="1"/>
  <c r="P6" i="8"/>
  <c r="Q6" i="8"/>
  <c r="R6" i="8"/>
  <c r="S6" i="8"/>
  <c r="J102" i="7"/>
  <c r="J101" i="7"/>
  <c r="K101" i="7"/>
  <c r="Z74" i="8" s="1"/>
  <c r="L101" i="7"/>
  <c r="J100" i="7"/>
  <c r="K100" i="7"/>
  <c r="Z60" i="8" s="1"/>
  <c r="L100" i="7"/>
  <c r="J99" i="7"/>
  <c r="K99" i="7"/>
  <c r="Z32" i="8" s="1"/>
  <c r="G48" i="3" s="1"/>
  <c r="L99" i="7"/>
  <c r="J98" i="7"/>
  <c r="K98" i="7"/>
  <c r="Z101" i="8" s="1"/>
  <c r="L98" i="7"/>
  <c r="J96" i="7"/>
  <c r="L96" i="7" s="1"/>
  <c r="K96" i="7"/>
  <c r="Z31" i="8" s="1"/>
  <c r="G47" i="3" s="1"/>
  <c r="J95" i="7"/>
  <c r="K95" i="7"/>
  <c r="Z100" i="8" s="1"/>
  <c r="L95" i="7"/>
  <c r="J94" i="7"/>
  <c r="K94" i="7"/>
  <c r="Z73" i="8" s="1"/>
  <c r="L94" i="7"/>
  <c r="J93" i="7"/>
  <c r="K93" i="7"/>
  <c r="Z58" i="8" s="1"/>
  <c r="L93" i="7"/>
  <c r="J92" i="7"/>
  <c r="K92" i="7"/>
  <c r="Z30" i="8" s="1"/>
  <c r="G46" i="3" s="1"/>
  <c r="L92" i="7"/>
  <c r="J91" i="7"/>
  <c r="K91" i="7"/>
  <c r="Z99" i="8" s="1"/>
  <c r="L91" i="7"/>
  <c r="J90" i="7"/>
  <c r="K90" i="7"/>
  <c r="Z57" i="8" s="1"/>
  <c r="L90" i="7"/>
  <c r="J89" i="7"/>
  <c r="K89" i="7"/>
  <c r="Z29" i="8" s="1"/>
  <c r="G45" i="3" s="1"/>
  <c r="L89" i="7"/>
  <c r="J88" i="7"/>
  <c r="K88" i="7"/>
  <c r="Z98" i="8" s="1"/>
  <c r="L88" i="7"/>
  <c r="J87" i="7"/>
  <c r="K87" i="7"/>
  <c r="Z72" i="8" s="1"/>
  <c r="L87" i="7"/>
  <c r="J86" i="7"/>
  <c r="L86" i="7" s="1"/>
  <c r="K86" i="7"/>
  <c r="Z56" i="8" s="1"/>
  <c r="J85" i="7"/>
  <c r="K85" i="7"/>
  <c r="Z28" i="8" s="1"/>
  <c r="G44" i="3" s="1"/>
  <c r="L85" i="7"/>
  <c r="J83" i="7"/>
  <c r="K83" i="7"/>
  <c r="Z55" i="8" s="1"/>
  <c r="L83" i="7"/>
  <c r="J82" i="7"/>
  <c r="K82" i="7"/>
  <c r="Z27" i="8" s="1"/>
  <c r="G43" i="3" s="1"/>
  <c r="L82" i="7"/>
  <c r="J81" i="7"/>
  <c r="L81" i="7" s="1"/>
  <c r="K81" i="7"/>
  <c r="Z96" i="8" s="1"/>
  <c r="J80" i="7"/>
  <c r="K80" i="7"/>
  <c r="Z71" i="8" s="1"/>
  <c r="L80" i="7"/>
  <c r="J79" i="7"/>
  <c r="K79" i="7"/>
  <c r="Z54" i="8" s="1"/>
  <c r="L79" i="7"/>
  <c r="J78" i="7"/>
  <c r="K78" i="7"/>
  <c r="Z26" i="8" s="1"/>
  <c r="G42" i="3" s="1"/>
  <c r="L78" i="7"/>
  <c r="J77" i="7"/>
  <c r="K77" i="7"/>
  <c r="Z95" i="8" s="1"/>
  <c r="L77" i="7"/>
  <c r="J76" i="7"/>
  <c r="J75" i="7"/>
  <c r="K75" i="7" s="1"/>
  <c r="Z25" i="8" s="1"/>
  <c r="G41" i="3" s="1"/>
  <c r="L75" i="7"/>
  <c r="J74" i="7"/>
  <c r="K74" i="7" s="1"/>
  <c r="Z94" i="8" s="1"/>
  <c r="L74" i="7"/>
  <c r="J73" i="7"/>
  <c r="K73" i="7" s="1"/>
  <c r="Z70" i="8" s="1"/>
  <c r="L73" i="7"/>
  <c r="J72" i="7"/>
  <c r="K72" i="7" s="1"/>
  <c r="Z52" i="8" s="1"/>
  <c r="L72" i="7"/>
  <c r="J71" i="7"/>
  <c r="K71" i="7"/>
  <c r="Z24" i="8" s="1"/>
  <c r="G40" i="3" s="1"/>
  <c r="L71" i="7"/>
  <c r="J70" i="7"/>
  <c r="L70" i="7" s="1"/>
  <c r="K70" i="7"/>
  <c r="Z93" i="8" s="1"/>
  <c r="J69" i="7"/>
  <c r="K69" i="7"/>
  <c r="Z51" i="8" s="1"/>
  <c r="L69" i="7"/>
  <c r="J68" i="7"/>
  <c r="K68" i="7"/>
  <c r="Z23" i="8" s="1"/>
  <c r="G39" i="3" s="1"/>
  <c r="L68" i="7"/>
  <c r="J67" i="7"/>
  <c r="K67" i="7"/>
  <c r="Z92" i="8" s="1"/>
  <c r="L67" i="7"/>
  <c r="J66" i="7"/>
  <c r="L66" i="7" s="1"/>
  <c r="K66" i="7"/>
  <c r="Z69" i="8" s="1"/>
  <c r="J65" i="7"/>
  <c r="K65" i="7"/>
  <c r="Z50" i="8" s="1"/>
  <c r="L65" i="7"/>
  <c r="J64" i="7"/>
  <c r="K64" i="7"/>
  <c r="Z22" i="8" s="1"/>
  <c r="G38" i="3" s="1"/>
  <c r="L64" i="7"/>
  <c r="J63" i="7"/>
  <c r="K63" i="7"/>
  <c r="Z91" i="8" s="1"/>
  <c r="L63" i="7"/>
  <c r="J62" i="7"/>
  <c r="K62" i="7"/>
  <c r="Z49" i="8" s="1"/>
  <c r="L62" i="7"/>
  <c r="J61" i="7"/>
  <c r="K61" i="7"/>
  <c r="Z21" i="8" s="1"/>
  <c r="G37" i="3" s="1"/>
  <c r="L61" i="7"/>
  <c r="J60" i="7"/>
  <c r="K60" i="7"/>
  <c r="Z90" i="8" s="1"/>
  <c r="L60" i="7"/>
  <c r="J21" i="7"/>
  <c r="L21" i="7"/>
  <c r="K21" i="7"/>
  <c r="Z79" i="8" s="1"/>
  <c r="J20" i="7"/>
  <c r="L20" i="7"/>
  <c r="K20" i="7"/>
  <c r="Z37" i="8" s="1"/>
  <c r="J19" i="7"/>
  <c r="L19" i="7"/>
  <c r="K19" i="7"/>
  <c r="Z9" i="8" s="1"/>
  <c r="G25" i="3" s="1"/>
  <c r="J18" i="7"/>
  <c r="L18" i="7"/>
  <c r="K18" i="7"/>
  <c r="Z78" i="8" s="1"/>
  <c r="J17" i="7"/>
  <c r="L17" i="7"/>
  <c r="K17" i="7"/>
  <c r="Z62" i="8" s="1"/>
  <c r="J16" i="7"/>
  <c r="K16" i="7" s="1"/>
  <c r="Z36" i="8" s="1"/>
  <c r="L16" i="7"/>
  <c r="J15" i="7"/>
  <c r="L15" i="7"/>
  <c r="K15" i="7"/>
  <c r="Z8" i="8" s="1"/>
  <c r="G24" i="3" s="1"/>
  <c r="J14" i="7"/>
  <c r="L14" i="7"/>
  <c r="K14" i="7"/>
  <c r="Z77" i="8" s="1"/>
  <c r="J13" i="7"/>
  <c r="L13" i="7"/>
  <c r="K13" i="7"/>
  <c r="Z35" i="8" s="1"/>
  <c r="J12" i="7"/>
  <c r="L12" i="7"/>
  <c r="K12" i="7"/>
  <c r="Z7" i="8" s="1"/>
  <c r="G23" i="3" s="1"/>
  <c r="J11" i="7"/>
  <c r="L11" i="7"/>
  <c r="K11" i="7"/>
  <c r="Z76" i="8" s="1"/>
  <c r="J10" i="7"/>
  <c r="L10" i="7"/>
  <c r="K10" i="7"/>
  <c r="Z61" i="8" s="1"/>
  <c r="J9" i="7"/>
  <c r="L9" i="7"/>
  <c r="K9" i="7"/>
  <c r="Z34" i="8" s="1"/>
  <c r="J8" i="7"/>
  <c r="L8" i="7"/>
  <c r="K8" i="7"/>
  <c r="Z6" i="8" s="1"/>
  <c r="J7" i="7"/>
  <c r="L7" i="7"/>
  <c r="K7" i="7"/>
  <c r="Z75" i="8" s="1"/>
  <c r="J6" i="7"/>
  <c r="L6" i="7"/>
  <c r="K6" i="7"/>
  <c r="Z33" i="8" s="1"/>
  <c r="J5" i="7"/>
  <c r="C15" i="4" s="1"/>
  <c r="C20" i="4"/>
  <c r="L5" i="7"/>
  <c r="K5" i="7"/>
  <c r="M55" i="8"/>
  <c r="N55" i="8"/>
  <c r="O55" i="8"/>
  <c r="P55" i="8"/>
  <c r="Q55" i="8"/>
  <c r="R55" i="8"/>
  <c r="S55" i="8"/>
  <c r="T55" i="8"/>
  <c r="U55" i="8"/>
  <c r="M38" i="8"/>
  <c r="N38" i="8"/>
  <c r="P38" i="8"/>
  <c r="Q38" i="8"/>
  <c r="R38" i="8"/>
  <c r="S38" i="8"/>
  <c r="M22" i="8"/>
  <c r="N22" i="8"/>
  <c r="S22" i="8" s="1"/>
  <c r="O22" i="8"/>
  <c r="T22" i="8" s="1"/>
  <c r="P22" i="8"/>
  <c r="Q22" i="8"/>
  <c r="R22" i="8"/>
  <c r="U22" i="8"/>
  <c r="M5" i="8"/>
  <c r="N5" i="8"/>
  <c r="O5" i="8"/>
  <c r="P5" i="8"/>
  <c r="Q5" i="8"/>
  <c r="R5" i="8"/>
  <c r="S5" i="8"/>
  <c r="T5" i="8"/>
  <c r="U5" i="8"/>
  <c r="B6" i="3" s="1"/>
  <c r="M50" i="12"/>
  <c r="N50" i="12"/>
  <c r="O50" i="12"/>
  <c r="P50" i="12"/>
  <c r="Q50" i="12"/>
  <c r="R50" i="12"/>
  <c r="S50" i="12"/>
  <c r="T50" i="12"/>
  <c r="U50" i="12"/>
  <c r="M49" i="12"/>
  <c r="N49" i="12"/>
  <c r="O49" i="12"/>
  <c r="P49" i="12"/>
  <c r="Q49" i="12"/>
  <c r="R49" i="12"/>
  <c r="S49" i="12"/>
  <c r="T49" i="12"/>
  <c r="U49" i="12"/>
  <c r="M48" i="12"/>
  <c r="N48" i="12"/>
  <c r="O48" i="12"/>
  <c r="P48" i="12"/>
  <c r="Q48" i="12"/>
  <c r="R48" i="12"/>
  <c r="S48" i="12"/>
  <c r="T48" i="12"/>
  <c r="U48" i="12"/>
  <c r="M47" i="12"/>
  <c r="N47" i="12"/>
  <c r="O47" i="12"/>
  <c r="P47" i="12"/>
  <c r="Q47" i="12"/>
  <c r="R47" i="12"/>
  <c r="S47" i="12"/>
  <c r="T47" i="12"/>
  <c r="U47" i="12"/>
  <c r="M16" i="12"/>
  <c r="N16" i="12"/>
  <c r="O16" i="12"/>
  <c r="P16" i="12"/>
  <c r="Q16" i="12"/>
  <c r="R16" i="12"/>
  <c r="S16" i="12"/>
  <c r="T16" i="12"/>
  <c r="U16" i="12"/>
  <c r="M9" i="12"/>
  <c r="N9" i="12"/>
  <c r="O9" i="12"/>
  <c r="P9" i="12"/>
  <c r="Q9" i="12"/>
  <c r="R9" i="12"/>
  <c r="S9" i="12"/>
  <c r="T9" i="12"/>
  <c r="U9" i="12"/>
  <c r="M8" i="12"/>
  <c r="N8" i="12"/>
  <c r="O8" i="12"/>
  <c r="P8" i="12"/>
  <c r="Q8" i="12"/>
  <c r="R8" i="12"/>
  <c r="S8" i="12"/>
  <c r="T8" i="12"/>
  <c r="U8" i="12"/>
  <c r="L32" i="12"/>
  <c r="K32" i="12"/>
  <c r="L60" i="12"/>
  <c r="K60" i="12"/>
  <c r="L31" i="12"/>
  <c r="K31" i="12"/>
  <c r="L59" i="12"/>
  <c r="K59" i="12"/>
  <c r="L58" i="12"/>
  <c r="K58" i="12"/>
  <c r="L30" i="12"/>
  <c r="K30" i="12"/>
  <c r="L57" i="12"/>
  <c r="K57" i="12"/>
  <c r="L29" i="12"/>
  <c r="K29" i="12"/>
  <c r="L56" i="12"/>
  <c r="K56" i="12"/>
  <c r="L55" i="12"/>
  <c r="K55" i="12"/>
  <c r="L27" i="12"/>
  <c r="K27" i="12"/>
  <c r="L54" i="12"/>
  <c r="K54" i="12"/>
  <c r="L26" i="12"/>
  <c r="K26" i="12"/>
  <c r="L53" i="12"/>
  <c r="K53" i="12"/>
  <c r="L25" i="12"/>
  <c r="K25" i="12"/>
  <c r="L24" i="12"/>
  <c r="K24" i="12"/>
  <c r="L52" i="12"/>
  <c r="K52" i="12"/>
  <c r="L44" i="12"/>
  <c r="K44" i="12"/>
  <c r="L10" i="12"/>
  <c r="K10" i="12"/>
  <c r="L102" i="8"/>
  <c r="K102" i="8"/>
  <c r="L101" i="8"/>
  <c r="K101" i="8"/>
  <c r="L100" i="8"/>
  <c r="K100" i="8"/>
  <c r="L99" i="8"/>
  <c r="K99" i="8"/>
  <c r="L98" i="8"/>
  <c r="K98" i="8"/>
  <c r="L97" i="8"/>
  <c r="K97" i="8"/>
  <c r="L96" i="8"/>
  <c r="K96" i="8"/>
  <c r="L95" i="8"/>
  <c r="K95" i="8"/>
  <c r="L94" i="8"/>
  <c r="K94" i="8"/>
  <c r="L93" i="8"/>
  <c r="K93" i="8"/>
  <c r="L92" i="8"/>
  <c r="K92" i="8"/>
  <c r="L91" i="8"/>
  <c r="K91" i="8"/>
  <c r="L90" i="8"/>
  <c r="K90" i="8"/>
  <c r="L88" i="8"/>
  <c r="K88" i="8"/>
  <c r="L87" i="8"/>
  <c r="K87" i="8"/>
  <c r="L86" i="8"/>
  <c r="K86" i="8"/>
  <c r="L85" i="8"/>
  <c r="K85" i="8"/>
  <c r="L81" i="8"/>
  <c r="K81" i="8"/>
  <c r="L66" i="8"/>
  <c r="K66" i="8"/>
  <c r="L57" i="8"/>
  <c r="K57" i="8"/>
  <c r="L56" i="8"/>
  <c r="K56" i="8"/>
  <c r="L54" i="8"/>
  <c r="K54" i="8"/>
  <c r="L53" i="8"/>
  <c r="K53" i="8"/>
  <c r="L52" i="8"/>
  <c r="K52" i="8"/>
  <c r="L51" i="8"/>
  <c r="K51" i="8"/>
  <c r="L50" i="8"/>
  <c r="K50" i="8"/>
  <c r="L49" i="8"/>
  <c r="K49" i="8"/>
  <c r="L48" i="8"/>
  <c r="K48" i="8"/>
  <c r="L47" i="8"/>
  <c r="K47" i="8"/>
  <c r="L46" i="8"/>
  <c r="K46" i="8"/>
  <c r="L45" i="8"/>
  <c r="K45" i="8"/>
  <c r="L44" i="8"/>
  <c r="K44" i="8"/>
  <c r="L43" i="8"/>
  <c r="K43" i="8"/>
  <c r="L42" i="8"/>
  <c r="K42" i="8"/>
  <c r="L41" i="8"/>
  <c r="K41" i="8"/>
  <c r="L40" i="8"/>
  <c r="K40" i="8"/>
  <c r="L39" i="8"/>
  <c r="K39" i="8"/>
  <c r="L37" i="8"/>
  <c r="K37" i="8"/>
  <c r="L36" i="8"/>
  <c r="K36" i="8"/>
  <c r="L35" i="8"/>
  <c r="K35" i="8"/>
  <c r="L34" i="8"/>
  <c r="K34" i="8"/>
  <c r="L33" i="8"/>
  <c r="K33" i="8"/>
  <c r="L32" i="8"/>
  <c r="K32" i="8"/>
  <c r="L31" i="8"/>
  <c r="K31" i="8"/>
  <c r="L30" i="8"/>
  <c r="K30" i="8"/>
  <c r="L29" i="8"/>
  <c r="K29" i="8"/>
  <c r="L28" i="8"/>
  <c r="K28" i="8"/>
  <c r="L27" i="8"/>
  <c r="K27" i="8"/>
  <c r="L26" i="8"/>
  <c r="K26" i="8"/>
  <c r="L25" i="8"/>
  <c r="K25" i="8"/>
  <c r="L24" i="8"/>
  <c r="K24" i="8"/>
  <c r="L23" i="8"/>
  <c r="K23" i="8"/>
  <c r="L21" i="8"/>
  <c r="K21" i="8"/>
  <c r="L20" i="8"/>
  <c r="K20" i="8"/>
  <c r="L19" i="8"/>
  <c r="K19" i="8"/>
  <c r="L18" i="8"/>
  <c r="K18" i="8"/>
  <c r="L17" i="8"/>
  <c r="K17" i="8"/>
  <c r="L16" i="8"/>
  <c r="K16" i="8"/>
  <c r="L15" i="8"/>
  <c r="K15" i="8"/>
  <c r="L14" i="8"/>
  <c r="K14" i="8"/>
  <c r="L13" i="8"/>
  <c r="K13" i="8"/>
  <c r="L12" i="8"/>
  <c r="K12" i="8"/>
  <c r="L11" i="8"/>
  <c r="K11" i="8"/>
  <c r="L10" i="8"/>
  <c r="K10" i="8"/>
  <c r="L9" i="8"/>
  <c r="K9" i="8"/>
  <c r="Y38" i="12"/>
  <c r="AD10" i="11" s="1"/>
  <c r="Y18" i="12"/>
  <c r="AB18" i="11" s="1"/>
  <c r="Y12" i="12"/>
  <c r="AB12" i="11" s="1"/>
  <c r="W33" i="11"/>
  <c r="D12" i="1"/>
  <c r="O45" i="12"/>
  <c r="S45" i="12"/>
  <c r="S41" i="12"/>
  <c r="O41" i="12"/>
  <c r="T41" i="12" s="1"/>
  <c r="Y41" i="12"/>
  <c r="S40" i="12"/>
  <c r="O40" i="12"/>
  <c r="T40" i="12" s="1"/>
  <c r="Y40" i="12"/>
  <c r="AD12" i="11" s="1"/>
  <c r="T37" i="12"/>
  <c r="O37" i="12"/>
  <c r="U37" i="12" s="1"/>
  <c r="Y37" i="12"/>
  <c r="T36" i="12"/>
  <c r="O36" i="12"/>
  <c r="U36" i="12" s="1"/>
  <c r="Y36" i="12"/>
  <c r="AD8" i="11" s="1"/>
  <c r="T35" i="12"/>
  <c r="O35" i="12"/>
  <c r="U35" i="12" s="1"/>
  <c r="Y35" i="12"/>
  <c r="O23" i="12"/>
  <c r="S23" i="12" s="1"/>
  <c r="R23" i="12"/>
  <c r="Y23" i="12"/>
  <c r="AB23" i="11" s="1"/>
  <c r="R22" i="12"/>
  <c r="O22" i="12"/>
  <c r="S22" i="12" s="1"/>
  <c r="Y22" i="12"/>
  <c r="AB22" i="11" s="1"/>
  <c r="S21" i="12"/>
  <c r="O21" i="12"/>
  <c r="S20" i="12"/>
  <c r="O20" i="12"/>
  <c r="S19" i="12"/>
  <c r="O19" i="12"/>
  <c r="T19" i="12" s="1"/>
  <c r="Y19" i="12"/>
  <c r="AB19" i="11" s="1"/>
  <c r="K54" i="7"/>
  <c r="Z19" i="8" s="1"/>
  <c r="G35" i="3" s="1"/>
  <c r="L54" i="7"/>
  <c r="K52" i="7"/>
  <c r="Z67" i="8" s="1"/>
  <c r="L52" i="7"/>
  <c r="G97" i="7"/>
  <c r="H97" i="7"/>
  <c r="I97" i="7"/>
  <c r="F84" i="7"/>
  <c r="J57" i="7"/>
  <c r="L57" i="7"/>
  <c r="K57" i="7"/>
  <c r="Z20" i="8" s="1"/>
  <c r="G36" i="3" s="1"/>
  <c r="I56" i="7"/>
  <c r="J56" i="7"/>
  <c r="J49" i="7"/>
  <c r="I45" i="7"/>
  <c r="J45" i="7"/>
  <c r="J44" i="7"/>
  <c r="K44" i="7" s="1"/>
  <c r="Z44" i="8" s="1"/>
  <c r="L44" i="7"/>
  <c r="J31" i="7"/>
  <c r="U15" i="12" l="1"/>
  <c r="Q15" i="12"/>
  <c r="P15" i="12"/>
  <c r="M15" i="12"/>
  <c r="R15" i="12"/>
  <c r="N15" i="12"/>
  <c r="P14" i="12"/>
  <c r="M14" i="12"/>
  <c r="Q14" i="12"/>
  <c r="U14" i="12"/>
  <c r="R14" i="12"/>
  <c r="N14" i="12"/>
  <c r="S39" i="12"/>
  <c r="R39" i="12"/>
  <c r="Q39" i="12"/>
  <c r="P39" i="12"/>
  <c r="M39" i="12"/>
  <c r="N39" i="12" s="1"/>
  <c r="S34" i="12"/>
  <c r="R34" i="12"/>
  <c r="Q34" i="12"/>
  <c r="P34" i="12"/>
  <c r="M34" i="12"/>
  <c r="N34" i="12" s="1"/>
  <c r="R5" i="12"/>
  <c r="Q5" i="12"/>
  <c r="P5" i="12"/>
  <c r="S5" i="12"/>
  <c r="M5" i="12"/>
  <c r="N5" i="12" s="1"/>
  <c r="S33" i="12"/>
  <c r="R33" i="12"/>
  <c r="Q33" i="12"/>
  <c r="P33" i="12"/>
  <c r="M33" i="12"/>
  <c r="N33" i="12" s="1"/>
  <c r="U46" i="12"/>
  <c r="R46" i="12"/>
  <c r="Q46" i="12"/>
  <c r="P46" i="12"/>
  <c r="M46" i="12"/>
  <c r="N46" i="12" s="1"/>
  <c r="S46" i="12" s="1"/>
  <c r="T39" i="12"/>
  <c r="O39" i="12"/>
  <c r="U39" i="12" s="1"/>
  <c r="O34" i="12"/>
  <c r="U34" i="12" s="1"/>
  <c r="T34" i="12"/>
  <c r="O33" i="12"/>
  <c r="U33" i="12" s="1"/>
  <c r="T33" i="12"/>
  <c r="S51" i="12"/>
  <c r="Y51" i="12"/>
  <c r="V43" i="12"/>
  <c r="W43" i="12"/>
  <c r="X43" i="12" s="1"/>
  <c r="T43" i="12"/>
  <c r="Y43" i="12"/>
  <c r="V42" i="12"/>
  <c r="W42" i="12"/>
  <c r="X42" i="12" s="1"/>
  <c r="T42" i="12"/>
  <c r="Y42" i="12"/>
  <c r="AD14" i="11" s="1"/>
  <c r="V17" i="12"/>
  <c r="W17" i="12"/>
  <c r="X17" i="12" s="1"/>
  <c r="T17" i="12"/>
  <c r="Y17" i="12"/>
  <c r="AB17" i="11" s="1"/>
  <c r="T13" i="12"/>
  <c r="Y13" i="12"/>
  <c r="AB13" i="11" s="1"/>
  <c r="V13" i="12"/>
  <c r="W13" i="12"/>
  <c r="X13" i="12" s="1"/>
  <c r="V11" i="12"/>
  <c r="W11" i="12"/>
  <c r="X11" i="12" s="1"/>
  <c r="U11" i="12"/>
  <c r="Y11" i="12"/>
  <c r="AB11" i="11" s="1"/>
  <c r="V7" i="12"/>
  <c r="W7" i="12"/>
  <c r="X7" i="12" s="1"/>
  <c r="U7" i="12"/>
  <c r="Y7" i="12"/>
  <c r="AB7" i="11" s="1"/>
  <c r="W6" i="12"/>
  <c r="X6" i="12" s="1"/>
  <c r="V6" i="12"/>
  <c r="U6" i="12"/>
  <c r="Y6" i="12"/>
  <c r="AB6" i="11" s="1"/>
  <c r="S89" i="8"/>
  <c r="Y89" i="8"/>
  <c r="K35" i="3" s="1"/>
  <c r="W89" i="8"/>
  <c r="V89" i="8"/>
  <c r="R72" i="8"/>
  <c r="Y72" i="8"/>
  <c r="J44" i="3" s="1"/>
  <c r="W72" i="8"/>
  <c r="V72" i="8"/>
  <c r="T6" i="8"/>
  <c r="O6" i="8"/>
  <c r="L102" i="7"/>
  <c r="K102" i="7"/>
  <c r="Z102" i="8" s="1"/>
  <c r="T38" i="8"/>
  <c r="O38" i="8"/>
  <c r="Z51" i="12"/>
  <c r="AA51" i="12"/>
  <c r="Z43" i="12"/>
  <c r="AA43" i="12"/>
  <c r="AB43" i="12"/>
  <c r="AC14" i="11"/>
  <c r="Z42" i="12"/>
  <c r="AA42" i="12"/>
  <c r="AC10" i="11"/>
  <c r="Z38" i="12"/>
  <c r="AA38" i="12" s="1"/>
  <c r="Z18" i="12"/>
  <c r="AA18" i="12" s="1"/>
  <c r="AB18" i="12"/>
  <c r="AA18" i="11"/>
  <c r="Z17" i="12"/>
  <c r="AA17" i="12"/>
  <c r="AA17" i="11"/>
  <c r="Z13" i="12"/>
  <c r="AA13" i="12"/>
  <c r="AB13" i="12"/>
  <c r="AA13" i="11"/>
  <c r="Z12" i="12"/>
  <c r="AA12" i="12" s="1"/>
  <c r="AB12" i="12"/>
  <c r="AA12" i="11"/>
  <c r="Z11" i="12"/>
  <c r="AA11" i="12" s="1"/>
  <c r="AA11" i="11"/>
  <c r="Z7" i="12"/>
  <c r="AA7" i="12"/>
  <c r="AB7" i="12"/>
  <c r="AA7" i="11"/>
  <c r="Z6" i="12"/>
  <c r="AA6" i="12"/>
  <c r="AA6" i="11"/>
  <c r="V28" i="12"/>
  <c r="W28" i="12"/>
  <c r="X28" i="12" s="1"/>
  <c r="F35" i="3"/>
  <c r="X89" i="8"/>
  <c r="AB89" i="8"/>
  <c r="V84" i="8"/>
  <c r="W84" i="8"/>
  <c r="W83" i="8"/>
  <c r="V83" i="8"/>
  <c r="V80" i="8"/>
  <c r="W80" i="8"/>
  <c r="W79" i="8"/>
  <c r="V79" i="8"/>
  <c r="W76" i="8"/>
  <c r="V76" i="8"/>
  <c r="V73" i="8"/>
  <c r="W73" i="8"/>
  <c r="E44" i="3"/>
  <c r="X72" i="8"/>
  <c r="AB72" i="8"/>
  <c r="V71" i="8"/>
  <c r="AA72" i="8" s="1"/>
  <c r="W71" i="8"/>
  <c r="V70" i="8"/>
  <c r="W70" i="8"/>
  <c r="V69" i="8"/>
  <c r="W69" i="8"/>
  <c r="V68" i="8"/>
  <c r="W68" i="8"/>
  <c r="V65" i="8"/>
  <c r="W65" i="8"/>
  <c r="V64" i="8"/>
  <c r="W64" i="8"/>
  <c r="V63" i="8"/>
  <c r="W63" i="8"/>
  <c r="V62" i="8"/>
  <c r="W62" i="8"/>
  <c r="V61" i="8"/>
  <c r="W61" i="8"/>
  <c r="V60" i="8"/>
  <c r="W60" i="8"/>
  <c r="V59" i="8"/>
  <c r="W59" i="8"/>
  <c r="V58" i="8"/>
  <c r="W58" i="8"/>
  <c r="V8" i="8"/>
  <c r="W8" i="8"/>
  <c r="V7" i="8"/>
  <c r="W7" i="8"/>
  <c r="G22" i="3"/>
  <c r="Z5" i="8"/>
  <c r="D13" i="3" s="1"/>
  <c r="V55" i="8"/>
  <c r="W55" i="8"/>
  <c r="V38" i="8"/>
  <c r="W38" i="8"/>
  <c r="V22" i="8"/>
  <c r="W22" i="8"/>
  <c r="V5" i="8"/>
  <c r="W5" i="8"/>
  <c r="V50" i="12"/>
  <c r="AB51" i="12" s="1"/>
  <c r="W50" i="12"/>
  <c r="X50" i="12" s="1"/>
  <c r="V49" i="12"/>
  <c r="W49" i="12"/>
  <c r="X49" i="12" s="1"/>
  <c r="V48" i="12"/>
  <c r="W48" i="12"/>
  <c r="X48" i="12" s="1"/>
  <c r="V47" i="12"/>
  <c r="W47" i="12"/>
  <c r="X47" i="12" s="1"/>
  <c r="V16" i="12"/>
  <c r="AB17" i="12" s="1"/>
  <c r="W16" i="12"/>
  <c r="X16" i="12" s="1"/>
  <c r="V9" i="12"/>
  <c r="W9" i="12"/>
  <c r="X9" i="12" s="1"/>
  <c r="V8" i="12"/>
  <c r="W8" i="12"/>
  <c r="X8" i="12" s="1"/>
  <c r="M32" i="12"/>
  <c r="N32" i="12" s="1"/>
  <c r="P32" i="12"/>
  <c r="S32" i="12"/>
  <c r="T32" i="12"/>
  <c r="U32" i="12"/>
  <c r="M60" i="12"/>
  <c r="N60" i="12" s="1"/>
  <c r="P60" i="12"/>
  <c r="S60" i="12"/>
  <c r="T60" i="12"/>
  <c r="U60" i="12"/>
  <c r="M31" i="12"/>
  <c r="N31" i="12"/>
  <c r="O31" i="12"/>
  <c r="P31" i="12"/>
  <c r="Q31" i="12"/>
  <c r="R31" i="12"/>
  <c r="S31" i="12"/>
  <c r="T31" i="12"/>
  <c r="U31" i="12"/>
  <c r="M59" i="12"/>
  <c r="N59" i="12"/>
  <c r="O59" i="12"/>
  <c r="P59" i="12"/>
  <c r="Q59" i="12"/>
  <c r="R59" i="12"/>
  <c r="S59" i="12"/>
  <c r="T59" i="12"/>
  <c r="U59" i="12"/>
  <c r="M58" i="12"/>
  <c r="N58" i="12"/>
  <c r="O58" i="12"/>
  <c r="P58" i="12"/>
  <c r="Q58" i="12"/>
  <c r="R58" i="12"/>
  <c r="S58" i="12"/>
  <c r="T58" i="12"/>
  <c r="U58" i="12"/>
  <c r="M30" i="12"/>
  <c r="N30" i="12"/>
  <c r="O30" i="12"/>
  <c r="P30" i="12"/>
  <c r="Q30" i="12"/>
  <c r="R30" i="12"/>
  <c r="S30" i="12"/>
  <c r="T30" i="12"/>
  <c r="U30" i="12"/>
  <c r="M57" i="12"/>
  <c r="N57" i="12"/>
  <c r="O57" i="12"/>
  <c r="P57" i="12"/>
  <c r="Q57" i="12"/>
  <c r="R57" i="12"/>
  <c r="S57" i="12"/>
  <c r="T57" i="12"/>
  <c r="U57" i="12"/>
  <c r="M29" i="12"/>
  <c r="N29" i="12" s="1"/>
  <c r="P29" i="12"/>
  <c r="Q29" i="12"/>
  <c r="T29" i="12"/>
  <c r="U29" i="12"/>
  <c r="M56" i="12"/>
  <c r="N56" i="12"/>
  <c r="O56" i="12"/>
  <c r="P56" i="12"/>
  <c r="Q56" i="12"/>
  <c r="R56" i="12"/>
  <c r="S56" i="12"/>
  <c r="T56" i="12"/>
  <c r="U56" i="12"/>
  <c r="M55" i="12"/>
  <c r="N55" i="12"/>
  <c r="O55" i="12"/>
  <c r="P55" i="12"/>
  <c r="Q55" i="12"/>
  <c r="R55" i="12"/>
  <c r="S55" i="12"/>
  <c r="T55" i="12"/>
  <c r="U55" i="12"/>
  <c r="M27" i="12"/>
  <c r="N27" i="12"/>
  <c r="O27" i="12"/>
  <c r="P27" i="12"/>
  <c r="Q27" i="12"/>
  <c r="R27" i="12"/>
  <c r="S27" i="12"/>
  <c r="T27" i="12"/>
  <c r="U27" i="12"/>
  <c r="M54" i="12"/>
  <c r="N54" i="12"/>
  <c r="O54" i="12"/>
  <c r="P54" i="12"/>
  <c r="Q54" i="12"/>
  <c r="R54" i="12"/>
  <c r="S54" i="12"/>
  <c r="T54" i="12"/>
  <c r="U54" i="12"/>
  <c r="M26" i="12"/>
  <c r="N26" i="12"/>
  <c r="O26" i="12"/>
  <c r="P26" i="12"/>
  <c r="Q26" i="12"/>
  <c r="R26" i="12"/>
  <c r="S26" i="12"/>
  <c r="T26" i="12"/>
  <c r="U26" i="12"/>
  <c r="M53" i="12"/>
  <c r="N53" i="12"/>
  <c r="O53" i="12"/>
  <c r="P53" i="12"/>
  <c r="Q53" i="12"/>
  <c r="R53" i="12"/>
  <c r="S53" i="12"/>
  <c r="T53" i="12"/>
  <c r="U53" i="12"/>
  <c r="M25" i="12"/>
  <c r="N25" i="12"/>
  <c r="O25" i="12"/>
  <c r="P25" i="12"/>
  <c r="Q25" i="12"/>
  <c r="R25" i="12"/>
  <c r="S25" i="12"/>
  <c r="T25" i="12"/>
  <c r="U25" i="12"/>
  <c r="M24" i="12"/>
  <c r="N24" i="12"/>
  <c r="O24" i="12"/>
  <c r="P24" i="12"/>
  <c r="Q24" i="12"/>
  <c r="R24" i="12"/>
  <c r="S24" i="12"/>
  <c r="T24" i="12"/>
  <c r="U24" i="12"/>
  <c r="M52" i="12"/>
  <c r="N52" i="12"/>
  <c r="O52" i="12"/>
  <c r="P52" i="12"/>
  <c r="Q52" i="12"/>
  <c r="R52" i="12"/>
  <c r="S52" i="12"/>
  <c r="T52" i="12"/>
  <c r="U52" i="12"/>
  <c r="M44" i="12"/>
  <c r="N44" i="12"/>
  <c r="O44" i="12"/>
  <c r="P44" i="12"/>
  <c r="Q44" i="12"/>
  <c r="R44" i="12"/>
  <c r="S44" i="12"/>
  <c r="T44" i="12"/>
  <c r="U44" i="12"/>
  <c r="M10" i="12"/>
  <c r="N10" i="12"/>
  <c r="O10" i="12"/>
  <c r="P10" i="12"/>
  <c r="Q10" i="12"/>
  <c r="R10" i="12"/>
  <c r="S10" i="12"/>
  <c r="T10" i="12"/>
  <c r="U10" i="12"/>
  <c r="M102" i="8"/>
  <c r="N102" i="8"/>
  <c r="O102" i="8"/>
  <c r="P102" i="8"/>
  <c r="Q102" i="8"/>
  <c r="R102" i="8"/>
  <c r="S102" i="8"/>
  <c r="T102" i="8"/>
  <c r="U102" i="8"/>
  <c r="M101" i="8"/>
  <c r="N101" i="8"/>
  <c r="O101" i="8"/>
  <c r="P101" i="8"/>
  <c r="Q101" i="8"/>
  <c r="R101" i="8"/>
  <c r="S101" i="8"/>
  <c r="T101" i="8"/>
  <c r="U101" i="8"/>
  <c r="M100" i="8"/>
  <c r="N100" i="8"/>
  <c r="O100" i="8"/>
  <c r="R100" i="8" s="1"/>
  <c r="P100" i="8"/>
  <c r="Q100" i="8"/>
  <c r="S100" i="8"/>
  <c r="T100" i="8"/>
  <c r="U100" i="8"/>
  <c r="M99" i="8"/>
  <c r="N99" i="8" s="1"/>
  <c r="P99" i="8"/>
  <c r="S99" i="8"/>
  <c r="T99" i="8"/>
  <c r="U99" i="8"/>
  <c r="M98" i="8"/>
  <c r="N98" i="8" s="1"/>
  <c r="P98" i="8"/>
  <c r="S98" i="8"/>
  <c r="T98" i="8"/>
  <c r="U98" i="8"/>
  <c r="M97" i="8"/>
  <c r="N97" i="8" s="1"/>
  <c r="P97" i="8"/>
  <c r="S97" i="8"/>
  <c r="T97" i="8"/>
  <c r="U97" i="8"/>
  <c r="M96" i="8"/>
  <c r="N96" i="8" s="1"/>
  <c r="P96" i="8"/>
  <c r="Q96" i="8"/>
  <c r="T96" i="8"/>
  <c r="U96" i="8"/>
  <c r="M95" i="8"/>
  <c r="N95" i="8" s="1"/>
  <c r="P95" i="8"/>
  <c r="Q95" i="8"/>
  <c r="T95" i="8"/>
  <c r="U95" i="8"/>
  <c r="M94" i="8"/>
  <c r="N94" i="8" s="1"/>
  <c r="P94" i="8"/>
  <c r="Q94" i="8"/>
  <c r="T94" i="8"/>
  <c r="U94" i="8"/>
  <c r="M93" i="8"/>
  <c r="N93" i="8" s="1"/>
  <c r="P93" i="8"/>
  <c r="Q93" i="8"/>
  <c r="T93" i="8"/>
  <c r="U93" i="8"/>
  <c r="M92" i="8"/>
  <c r="N92" i="8" s="1"/>
  <c r="P92" i="8"/>
  <c r="Q92" i="8"/>
  <c r="T92" i="8"/>
  <c r="U92" i="8"/>
  <c r="M91" i="8"/>
  <c r="N91" i="8" s="1"/>
  <c r="P91" i="8"/>
  <c r="Q91" i="8"/>
  <c r="T91" i="8"/>
  <c r="U91" i="8"/>
  <c r="M90" i="8"/>
  <c r="N90" i="8" s="1"/>
  <c r="P90" i="8"/>
  <c r="Q90" i="8"/>
  <c r="T90" i="8"/>
  <c r="U90" i="8"/>
  <c r="M88" i="8"/>
  <c r="N88" i="8" s="1"/>
  <c r="P88" i="8"/>
  <c r="Q88" i="8"/>
  <c r="R88" i="8"/>
  <c r="U88" i="8"/>
  <c r="M87" i="8"/>
  <c r="N87" i="8" s="1"/>
  <c r="P87" i="8"/>
  <c r="Q87" i="8"/>
  <c r="R87" i="8"/>
  <c r="U87" i="8"/>
  <c r="M86" i="8"/>
  <c r="N86" i="8" s="1"/>
  <c r="P86" i="8"/>
  <c r="Q86" i="8"/>
  <c r="R86" i="8"/>
  <c r="U86" i="8"/>
  <c r="M85" i="8"/>
  <c r="N85" i="8" s="1"/>
  <c r="P85" i="8"/>
  <c r="Q85" i="8"/>
  <c r="R85" i="8"/>
  <c r="U85" i="8"/>
  <c r="M81" i="8"/>
  <c r="Q81" i="8"/>
  <c r="U81" i="8"/>
  <c r="N81" i="8"/>
  <c r="P81" i="8"/>
  <c r="R81" i="8"/>
  <c r="M66" i="8"/>
  <c r="N66" i="8" s="1"/>
  <c r="P66" i="8"/>
  <c r="Q66" i="8"/>
  <c r="F8" i="3" s="1"/>
  <c r="T66" i="8"/>
  <c r="U66" i="8"/>
  <c r="M57" i="8"/>
  <c r="N57" i="8"/>
  <c r="O57" i="8"/>
  <c r="P57" i="8"/>
  <c r="Q57" i="8"/>
  <c r="R57" i="8"/>
  <c r="S57" i="8"/>
  <c r="T57" i="8"/>
  <c r="U57" i="8"/>
  <c r="M56" i="8"/>
  <c r="N56" i="8"/>
  <c r="O56" i="8"/>
  <c r="P56" i="8"/>
  <c r="Q56" i="8"/>
  <c r="R56" i="8"/>
  <c r="S56" i="8"/>
  <c r="T56" i="8"/>
  <c r="U56" i="8"/>
  <c r="M54" i="8"/>
  <c r="N54" i="8"/>
  <c r="O54" i="8"/>
  <c r="P54" i="8"/>
  <c r="Q54" i="8"/>
  <c r="R54" i="8"/>
  <c r="S54" i="8"/>
  <c r="T54" i="8"/>
  <c r="U54" i="8"/>
  <c r="M53" i="8"/>
  <c r="N53" i="8"/>
  <c r="O53" i="8"/>
  <c r="P53" i="8"/>
  <c r="Q53" i="8"/>
  <c r="R53" i="8"/>
  <c r="S53" i="8"/>
  <c r="T53" i="8"/>
  <c r="U53" i="8"/>
  <c r="M52" i="8"/>
  <c r="N52" i="8"/>
  <c r="O52" i="8"/>
  <c r="P52" i="8"/>
  <c r="Q52" i="8"/>
  <c r="R52" i="8"/>
  <c r="S52" i="8"/>
  <c r="T52" i="8"/>
  <c r="U52" i="8"/>
  <c r="M51" i="8"/>
  <c r="N51" i="8"/>
  <c r="O51" i="8"/>
  <c r="P51" i="8"/>
  <c r="Q51" i="8"/>
  <c r="R51" i="8"/>
  <c r="S51" i="8"/>
  <c r="T51" i="8"/>
  <c r="U51" i="8"/>
  <c r="M50" i="8"/>
  <c r="N50" i="8"/>
  <c r="O50" i="8"/>
  <c r="P50" i="8"/>
  <c r="Q50" i="8"/>
  <c r="R50" i="8"/>
  <c r="S50" i="8"/>
  <c r="T50" i="8"/>
  <c r="U50" i="8"/>
  <c r="M49" i="8"/>
  <c r="N49" i="8"/>
  <c r="O49" i="8"/>
  <c r="P49" i="8"/>
  <c r="Q49" i="8"/>
  <c r="R49" i="8"/>
  <c r="S49" i="8"/>
  <c r="T49" i="8"/>
  <c r="U49" i="8"/>
  <c r="M48" i="8"/>
  <c r="N48" i="8"/>
  <c r="O48" i="8"/>
  <c r="P48" i="8"/>
  <c r="Q48" i="8"/>
  <c r="R48" i="8"/>
  <c r="S48" i="8"/>
  <c r="T48" i="8"/>
  <c r="U48" i="8"/>
  <c r="M47" i="8"/>
  <c r="N47" i="8"/>
  <c r="O47" i="8"/>
  <c r="P47" i="8"/>
  <c r="Q47" i="8"/>
  <c r="R47" i="8"/>
  <c r="S47" i="8"/>
  <c r="T47" i="8"/>
  <c r="U47" i="8"/>
  <c r="M46" i="8"/>
  <c r="N46" i="8" s="1"/>
  <c r="P46" i="8"/>
  <c r="Q46" i="8"/>
  <c r="R46" i="8"/>
  <c r="U46" i="8"/>
  <c r="M45" i="8"/>
  <c r="N45" i="8" s="1"/>
  <c r="P45" i="8"/>
  <c r="Q45" i="8"/>
  <c r="R45" i="8"/>
  <c r="U45" i="8"/>
  <c r="M44" i="8"/>
  <c r="N44" i="8" s="1"/>
  <c r="P44" i="8"/>
  <c r="Q44" i="8"/>
  <c r="R44" i="8"/>
  <c r="U44" i="8"/>
  <c r="M43" i="8"/>
  <c r="N43" i="8"/>
  <c r="O43" i="8"/>
  <c r="P43" i="8"/>
  <c r="Q43" i="8"/>
  <c r="R43" i="8"/>
  <c r="S43" i="8"/>
  <c r="T43" i="8"/>
  <c r="U43" i="8"/>
  <c r="M42" i="8"/>
  <c r="N42" i="8"/>
  <c r="O42" i="8"/>
  <c r="P42" i="8"/>
  <c r="Q42" i="8"/>
  <c r="R42" i="8"/>
  <c r="S42" i="8"/>
  <c r="T42" i="8"/>
  <c r="U42" i="8"/>
  <c r="M41" i="8"/>
  <c r="N41" i="8"/>
  <c r="O41" i="8"/>
  <c r="T41" i="8" s="1"/>
  <c r="P41" i="8"/>
  <c r="Q41" i="8"/>
  <c r="R41" i="8"/>
  <c r="S41" i="8"/>
  <c r="U41" i="8"/>
  <c r="M40" i="8"/>
  <c r="N40" i="8" s="1"/>
  <c r="P40" i="8"/>
  <c r="Q40" i="8"/>
  <c r="R40" i="8"/>
  <c r="S40" i="8"/>
  <c r="M39" i="8"/>
  <c r="N39" i="8"/>
  <c r="O39" i="8"/>
  <c r="P39" i="8"/>
  <c r="Q39" i="8"/>
  <c r="R39" i="8"/>
  <c r="S39" i="8"/>
  <c r="T39" i="8"/>
  <c r="U39" i="8"/>
  <c r="M37" i="8"/>
  <c r="N37" i="8"/>
  <c r="O37" i="8"/>
  <c r="P37" i="8"/>
  <c r="Q37" i="8"/>
  <c r="R37" i="8"/>
  <c r="S37" i="8"/>
  <c r="T37" i="8"/>
  <c r="U37" i="8"/>
  <c r="M36" i="8"/>
  <c r="N36" i="8"/>
  <c r="O36" i="8"/>
  <c r="P36" i="8"/>
  <c r="Q36" i="8"/>
  <c r="R36" i="8"/>
  <c r="S36" i="8"/>
  <c r="T36" i="8"/>
  <c r="U36" i="8"/>
  <c r="M35" i="8"/>
  <c r="N35" i="8"/>
  <c r="O35" i="8"/>
  <c r="P35" i="8"/>
  <c r="Q35" i="8"/>
  <c r="R35" i="8"/>
  <c r="S35" i="8"/>
  <c r="T35" i="8"/>
  <c r="U35" i="8"/>
  <c r="M34" i="8"/>
  <c r="N34" i="8"/>
  <c r="O34" i="8"/>
  <c r="P34" i="8"/>
  <c r="Q34" i="8"/>
  <c r="R34" i="8"/>
  <c r="S34" i="8"/>
  <c r="T34" i="8"/>
  <c r="U34" i="8"/>
  <c r="M33" i="8"/>
  <c r="N33" i="8"/>
  <c r="O33" i="8"/>
  <c r="P33" i="8"/>
  <c r="Q33" i="8"/>
  <c r="R33" i="8"/>
  <c r="S33" i="8"/>
  <c r="T33" i="8"/>
  <c r="C7" i="3" s="1"/>
  <c r="U33" i="8"/>
  <c r="B7" i="3" s="1"/>
  <c r="M32" i="8"/>
  <c r="N32" i="8"/>
  <c r="O32" i="8"/>
  <c r="P32" i="8"/>
  <c r="Q32" i="8"/>
  <c r="R32" i="8"/>
  <c r="S32" i="8"/>
  <c r="T32" i="8"/>
  <c r="U32" i="8"/>
  <c r="M31" i="8"/>
  <c r="N31" i="8" s="1"/>
  <c r="P31" i="8"/>
  <c r="Q31" i="8"/>
  <c r="T31" i="8"/>
  <c r="U31" i="8"/>
  <c r="M30" i="8"/>
  <c r="N30" i="8" s="1"/>
  <c r="P30" i="8"/>
  <c r="Q30" i="8"/>
  <c r="T30" i="8"/>
  <c r="U30" i="8"/>
  <c r="M29" i="8"/>
  <c r="N29" i="8" s="1"/>
  <c r="P29" i="8"/>
  <c r="Q29" i="8"/>
  <c r="T29" i="8"/>
  <c r="U29" i="8"/>
  <c r="M28" i="8"/>
  <c r="N28" i="8"/>
  <c r="O28" i="8"/>
  <c r="P28" i="8"/>
  <c r="Q28" i="8"/>
  <c r="R28" i="8"/>
  <c r="S28" i="8"/>
  <c r="T28" i="8"/>
  <c r="U28" i="8"/>
  <c r="M27" i="8"/>
  <c r="N27" i="8"/>
  <c r="O27" i="8"/>
  <c r="P27" i="8"/>
  <c r="Q27" i="8"/>
  <c r="R27" i="8"/>
  <c r="S27" i="8"/>
  <c r="T27" i="8"/>
  <c r="U27" i="8"/>
  <c r="M26" i="8"/>
  <c r="N26" i="8"/>
  <c r="O26" i="8"/>
  <c r="P26" i="8"/>
  <c r="Q26" i="8"/>
  <c r="R26" i="8"/>
  <c r="S26" i="8"/>
  <c r="T26" i="8"/>
  <c r="U26" i="8"/>
  <c r="M25" i="8"/>
  <c r="N25" i="8"/>
  <c r="O25" i="8"/>
  <c r="P25" i="8"/>
  <c r="Q25" i="8"/>
  <c r="R25" i="8"/>
  <c r="S25" i="8"/>
  <c r="T25" i="8"/>
  <c r="U25" i="8"/>
  <c r="M24" i="8"/>
  <c r="N24" i="8" s="1"/>
  <c r="P24" i="8"/>
  <c r="Q24" i="8"/>
  <c r="T24" i="8"/>
  <c r="U24" i="8"/>
  <c r="M23" i="8"/>
  <c r="N23" i="8" s="1"/>
  <c r="P23" i="8"/>
  <c r="Q23" i="8"/>
  <c r="R23" i="8"/>
  <c r="U23" i="8"/>
  <c r="M21" i="8"/>
  <c r="N21" i="8"/>
  <c r="P21" i="8"/>
  <c r="Q21" i="8"/>
  <c r="R21" i="8"/>
  <c r="U21" i="8"/>
  <c r="M20" i="8"/>
  <c r="N20" i="8" s="1"/>
  <c r="P20" i="8"/>
  <c r="Q20" i="8"/>
  <c r="R20" i="8"/>
  <c r="U20" i="8"/>
  <c r="M19" i="8"/>
  <c r="N19" i="8" s="1"/>
  <c r="P19" i="8"/>
  <c r="Q19" i="8"/>
  <c r="R19" i="8"/>
  <c r="U19" i="8"/>
  <c r="M18" i="8"/>
  <c r="N18" i="8" s="1"/>
  <c r="P18" i="8"/>
  <c r="Q18" i="8"/>
  <c r="R18" i="8"/>
  <c r="U18" i="8"/>
  <c r="M17" i="8"/>
  <c r="N17" i="8" s="1"/>
  <c r="P17" i="8"/>
  <c r="Q17" i="8"/>
  <c r="R17" i="8"/>
  <c r="U17" i="8"/>
  <c r="M16" i="8"/>
  <c r="N16" i="8" s="1"/>
  <c r="P16" i="8"/>
  <c r="Q16" i="8"/>
  <c r="R16" i="8"/>
  <c r="U16" i="8"/>
  <c r="M15" i="8"/>
  <c r="N15" i="8" s="1"/>
  <c r="P15" i="8"/>
  <c r="Q15" i="8"/>
  <c r="R15" i="8"/>
  <c r="U15" i="8"/>
  <c r="M14" i="8"/>
  <c r="N14" i="8"/>
  <c r="P14" i="8"/>
  <c r="Q14" i="8"/>
  <c r="R14" i="8"/>
  <c r="S14" i="8"/>
  <c r="M13" i="8"/>
  <c r="N13" i="8" s="1"/>
  <c r="P13" i="8"/>
  <c r="Q13" i="8"/>
  <c r="R13" i="8"/>
  <c r="S13" i="8"/>
  <c r="M12" i="8"/>
  <c r="N12" i="8" s="1"/>
  <c r="P12" i="8"/>
  <c r="Q12" i="8"/>
  <c r="R12" i="8"/>
  <c r="S12" i="8"/>
  <c r="M11" i="8"/>
  <c r="N11" i="8"/>
  <c r="O11" i="8"/>
  <c r="P11" i="8"/>
  <c r="Q11" i="8"/>
  <c r="R11" i="8"/>
  <c r="S11" i="8"/>
  <c r="T11" i="8"/>
  <c r="U11" i="8"/>
  <c r="M10" i="8"/>
  <c r="N10" i="8"/>
  <c r="O10" i="8"/>
  <c r="P10" i="8"/>
  <c r="Q10" i="8"/>
  <c r="R10" i="8"/>
  <c r="S10" i="8"/>
  <c r="T10" i="8"/>
  <c r="U10" i="8"/>
  <c r="M9" i="8"/>
  <c r="N9" i="8"/>
  <c r="O9" i="8"/>
  <c r="P9" i="8"/>
  <c r="Q9" i="8"/>
  <c r="R9" i="8"/>
  <c r="S9" i="8"/>
  <c r="T9" i="8"/>
  <c r="U9" i="8"/>
  <c r="E9" i="1"/>
  <c r="E11" i="1"/>
  <c r="E10" i="1"/>
  <c r="E7" i="1"/>
  <c r="E6" i="1"/>
  <c r="E5" i="1"/>
  <c r="E8" i="1"/>
  <c r="Y45" i="12"/>
  <c r="T45" i="12"/>
  <c r="Y28" i="12"/>
  <c r="AB28" i="11" s="1"/>
  <c r="Y84" i="8"/>
  <c r="K30" i="3" s="1"/>
  <c r="Y83" i="8"/>
  <c r="K29" i="3" s="1"/>
  <c r="Y80" i="8"/>
  <c r="K26" i="3" s="1"/>
  <c r="Y79" i="8"/>
  <c r="K25" i="3" s="1"/>
  <c r="Y76" i="8"/>
  <c r="K22" i="3" s="1"/>
  <c r="Y71" i="8"/>
  <c r="J42" i="3" s="1"/>
  <c r="Y70" i="8"/>
  <c r="J40" i="3" s="1"/>
  <c r="Y69" i="8"/>
  <c r="J38" i="3" s="1"/>
  <c r="Y68" i="8"/>
  <c r="J36" i="3" s="1"/>
  <c r="Y55" i="8"/>
  <c r="I43" i="3" s="1"/>
  <c r="Y65" i="8"/>
  <c r="J30" i="3" s="1"/>
  <c r="Y64" i="8"/>
  <c r="J28" i="3" s="1"/>
  <c r="Y63" i="8"/>
  <c r="J26" i="3" s="1"/>
  <c r="Y62" i="8"/>
  <c r="J24" i="3" s="1"/>
  <c r="Y61" i="8"/>
  <c r="J22" i="3" s="1"/>
  <c r="Y60" i="8"/>
  <c r="I48" i="3" s="1"/>
  <c r="Y59" i="8"/>
  <c r="I47" i="3" s="1"/>
  <c r="Y58" i="8"/>
  <c r="I46" i="3" s="1"/>
  <c r="Y8" i="8"/>
  <c r="H24" i="3" s="1"/>
  <c r="Y7" i="8"/>
  <c r="H23" i="3" s="1"/>
  <c r="Y22" i="8"/>
  <c r="H38" i="3" s="1"/>
  <c r="Y5" i="8"/>
  <c r="H21" i="3" s="1"/>
  <c r="Y50" i="12"/>
  <c r="AD22" i="11" s="1"/>
  <c r="Y49" i="12"/>
  <c r="Y48" i="12"/>
  <c r="AD20" i="11" s="1"/>
  <c r="Y47" i="12"/>
  <c r="Y16" i="12"/>
  <c r="AB16" i="11" s="1"/>
  <c r="Y9" i="12"/>
  <c r="AB9" i="11" s="1"/>
  <c r="Y8" i="12"/>
  <c r="AB8" i="11" s="1"/>
  <c r="S82" i="8"/>
  <c r="O82" i="8"/>
  <c r="T78" i="8"/>
  <c r="O78" i="8"/>
  <c r="U78" i="8" s="1"/>
  <c r="Y78" i="8"/>
  <c r="K24" i="3" s="1"/>
  <c r="Y77" i="8"/>
  <c r="K23" i="3" s="1"/>
  <c r="U77" i="8"/>
  <c r="O75" i="8"/>
  <c r="U75" i="8" s="1"/>
  <c r="B9" i="3" s="1"/>
  <c r="T75" i="8"/>
  <c r="Y75" i="8"/>
  <c r="K21" i="3" s="1"/>
  <c r="O74" i="8"/>
  <c r="Q74" i="8" s="1"/>
  <c r="P74" i="8"/>
  <c r="Y74" i="8"/>
  <c r="J48" i="3" s="1"/>
  <c r="Y73" i="8"/>
  <c r="J46" i="3" s="1"/>
  <c r="R73" i="8"/>
  <c r="O67" i="8"/>
  <c r="R67" i="8"/>
  <c r="K76" i="7"/>
  <c r="Z53" i="8" s="1"/>
  <c r="L76" i="7"/>
  <c r="W45" i="12"/>
  <c r="X45" i="12" s="1"/>
  <c r="V45" i="12"/>
  <c r="W41" i="12"/>
  <c r="X41" i="12" s="1"/>
  <c r="V41" i="12"/>
  <c r="W40" i="12"/>
  <c r="X40" i="12" s="1"/>
  <c r="V40" i="12"/>
  <c r="V37" i="12"/>
  <c r="AB38" i="12" s="1"/>
  <c r="W37" i="12"/>
  <c r="X37" i="12" s="1"/>
  <c r="V36" i="12"/>
  <c r="W36" i="12"/>
  <c r="X36" i="12" s="1"/>
  <c r="V35" i="12"/>
  <c r="W35" i="12"/>
  <c r="X35" i="12" s="1"/>
  <c r="V23" i="12"/>
  <c r="W23" i="12"/>
  <c r="X23" i="12" s="1"/>
  <c r="V22" i="12"/>
  <c r="W22" i="12"/>
  <c r="X22" i="12" s="1"/>
  <c r="T21" i="12"/>
  <c r="Y21" i="12"/>
  <c r="AB21" i="11" s="1"/>
  <c r="T20" i="12"/>
  <c r="Y20" i="12"/>
  <c r="AB20" i="11" s="1"/>
  <c r="W19" i="12"/>
  <c r="X19" i="12" s="1"/>
  <c r="V19" i="12"/>
  <c r="J97" i="7"/>
  <c r="G84" i="7"/>
  <c r="L56" i="7"/>
  <c r="K56" i="7"/>
  <c r="Z89" i="8" s="1"/>
  <c r="L49" i="7"/>
  <c r="K49" i="7"/>
  <c r="Z87" i="8" s="1"/>
  <c r="L45" i="7"/>
  <c r="K45" i="7"/>
  <c r="Z66" i="8" s="1"/>
  <c r="L31" i="7"/>
  <c r="K31" i="7"/>
  <c r="O46" i="12" l="1"/>
  <c r="Y34" i="12"/>
  <c r="AD6" i="11" s="1"/>
  <c r="G9" i="3"/>
  <c r="Y39" i="12"/>
  <c r="Y33" i="12"/>
  <c r="D7" i="3"/>
  <c r="AB42" i="12"/>
  <c r="G6" i="3"/>
  <c r="G8" i="3"/>
  <c r="S15" i="12"/>
  <c r="O15" i="12"/>
  <c r="S14" i="12"/>
  <c r="O14" i="12"/>
  <c r="W39" i="12"/>
  <c r="X39" i="12" s="1"/>
  <c r="V39" i="12"/>
  <c r="W34" i="12"/>
  <c r="X34" i="12" s="1"/>
  <c r="V34" i="12"/>
  <c r="T5" i="12"/>
  <c r="O5" i="12"/>
  <c r="W33" i="12"/>
  <c r="X33" i="12" s="1"/>
  <c r="V33" i="12"/>
  <c r="Z33" i="12" s="1"/>
  <c r="AA33" i="12" s="1"/>
  <c r="V46" i="12"/>
  <c r="W46" i="12"/>
  <c r="X46" i="12" s="1"/>
  <c r="C6" i="3"/>
  <c r="V6" i="8"/>
  <c r="W6" i="8"/>
  <c r="U6" i="8"/>
  <c r="Y6" i="8"/>
  <c r="H22" i="3" s="1"/>
  <c r="U38" i="8"/>
  <c r="Y38" i="8"/>
  <c r="I26" i="3" s="1"/>
  <c r="Q32" i="12"/>
  <c r="O32" i="12"/>
  <c r="O60" i="12"/>
  <c r="Q60" i="12"/>
  <c r="Q99" i="8"/>
  <c r="O99" i="8"/>
  <c r="R66" i="8"/>
  <c r="O66" i="8"/>
  <c r="T40" i="8"/>
  <c r="O40" i="8"/>
  <c r="R24" i="8"/>
  <c r="O24" i="8"/>
  <c r="S23" i="8"/>
  <c r="O23" i="8"/>
  <c r="S21" i="8"/>
  <c r="O21" i="8"/>
  <c r="S19" i="8"/>
  <c r="O19" i="8"/>
  <c r="S18" i="8"/>
  <c r="O18" i="8"/>
  <c r="T12" i="8"/>
  <c r="O12" i="8"/>
  <c r="W21" i="12"/>
  <c r="X21" i="12" s="1"/>
  <c r="V21" i="12"/>
  <c r="V20" i="12"/>
  <c r="W20" i="12"/>
  <c r="X20" i="12" s="1"/>
  <c r="Z28" i="12"/>
  <c r="AA28" i="12" s="1"/>
  <c r="AA28" i="11"/>
  <c r="F30" i="3"/>
  <c r="AA84" i="8"/>
  <c r="X84" i="8"/>
  <c r="AB84" i="8"/>
  <c r="X83" i="8"/>
  <c r="AB83" i="8"/>
  <c r="F29" i="3"/>
  <c r="F26" i="3"/>
  <c r="AA80" i="8"/>
  <c r="X80" i="8"/>
  <c r="AB80" i="8"/>
  <c r="X79" i="8"/>
  <c r="AB79" i="8"/>
  <c r="F25" i="3"/>
  <c r="X76" i="8"/>
  <c r="AB76" i="8"/>
  <c r="F22" i="3"/>
  <c r="E46" i="3"/>
  <c r="AA73" i="8"/>
  <c r="X73" i="8"/>
  <c r="AB73" i="8"/>
  <c r="E42" i="3"/>
  <c r="AA71" i="8"/>
  <c r="X71" i="8"/>
  <c r="AB71" i="8"/>
  <c r="E40" i="3"/>
  <c r="AA70" i="8"/>
  <c r="X70" i="8"/>
  <c r="AB70" i="8"/>
  <c r="E38" i="3"/>
  <c r="AA69" i="8"/>
  <c r="X69" i="8"/>
  <c r="AB69" i="8"/>
  <c r="E36" i="3"/>
  <c r="X68" i="8"/>
  <c r="AB68" i="8"/>
  <c r="E30" i="3"/>
  <c r="AA65" i="8"/>
  <c r="X65" i="8"/>
  <c r="AB65" i="8"/>
  <c r="E28" i="3"/>
  <c r="AA64" i="8"/>
  <c r="X64" i="8"/>
  <c r="AB64" i="8"/>
  <c r="E26" i="3"/>
  <c r="AA63" i="8"/>
  <c r="X63" i="8"/>
  <c r="AB63" i="8"/>
  <c r="E24" i="3"/>
  <c r="AA62" i="8"/>
  <c r="X62" i="8"/>
  <c r="AB62" i="8"/>
  <c r="E22" i="3"/>
  <c r="X61" i="8"/>
  <c r="AB61" i="8"/>
  <c r="D48" i="3"/>
  <c r="AA60" i="8"/>
  <c r="H14" i="3"/>
  <c r="X60" i="8"/>
  <c r="AB60" i="8"/>
  <c r="D47" i="3"/>
  <c r="AA59" i="8"/>
  <c r="X59" i="8"/>
  <c r="AB59" i="8"/>
  <c r="D46" i="3"/>
  <c r="AA58" i="8"/>
  <c r="X58" i="8"/>
  <c r="AB58" i="8"/>
  <c r="C24" i="3"/>
  <c r="AA8" i="8"/>
  <c r="X8" i="8"/>
  <c r="AB8" i="8"/>
  <c r="C23" i="3"/>
  <c r="AA7" i="8"/>
  <c r="X7" i="8"/>
  <c r="AB7" i="8"/>
  <c r="C22" i="3"/>
  <c r="AA6" i="8"/>
  <c r="X6" i="8"/>
  <c r="AB6" i="8"/>
  <c r="G21" i="3"/>
  <c r="B13" i="3"/>
  <c r="C13" i="3"/>
  <c r="D43" i="3"/>
  <c r="AA55" i="8"/>
  <c r="X55" i="8"/>
  <c r="AB55" i="8"/>
  <c r="D26" i="3"/>
  <c r="AA38" i="8"/>
  <c r="X38" i="8"/>
  <c r="AB38" i="8"/>
  <c r="C38" i="3"/>
  <c r="X22" i="8"/>
  <c r="AB22" i="8"/>
  <c r="C21" i="3"/>
  <c r="X5" i="8"/>
  <c r="AB5" i="8"/>
  <c r="AC22" i="11"/>
  <c r="Z50" i="12"/>
  <c r="AA50" i="12" s="1"/>
  <c r="AB50" i="12"/>
  <c r="Z49" i="12"/>
  <c r="AA49" i="12" s="1"/>
  <c r="AB49" i="12"/>
  <c r="AC20" i="11"/>
  <c r="Z48" i="12"/>
  <c r="AA48" i="12" s="1"/>
  <c r="AB48" i="12"/>
  <c r="Z47" i="12"/>
  <c r="AA47" i="12" s="1"/>
  <c r="AB47" i="12"/>
  <c r="Z16" i="12"/>
  <c r="AA16" i="12" s="1"/>
  <c r="AA16" i="11"/>
  <c r="Z9" i="12"/>
  <c r="AA9" i="12"/>
  <c r="AB9" i="12"/>
  <c r="AA9" i="11"/>
  <c r="Z8" i="12"/>
  <c r="AA8" i="12"/>
  <c r="AB8" i="12"/>
  <c r="AA8" i="11"/>
  <c r="V31" i="12"/>
  <c r="W31" i="12"/>
  <c r="X31" i="12" s="1"/>
  <c r="V59" i="12"/>
  <c r="W59" i="12"/>
  <c r="X59" i="12" s="1"/>
  <c r="V58" i="12"/>
  <c r="W58" i="12"/>
  <c r="X58" i="12" s="1"/>
  <c r="V30" i="12"/>
  <c r="W30" i="12"/>
  <c r="X30" i="12" s="1"/>
  <c r="V57" i="12"/>
  <c r="W57" i="12"/>
  <c r="X57" i="12" s="1"/>
  <c r="V56" i="12"/>
  <c r="W56" i="12"/>
  <c r="X56" i="12" s="1"/>
  <c r="V55" i="12"/>
  <c r="W55" i="12"/>
  <c r="X55" i="12" s="1"/>
  <c r="V27" i="12"/>
  <c r="AB28" i="12" s="1"/>
  <c r="W27" i="12"/>
  <c r="X27" i="12" s="1"/>
  <c r="V54" i="12"/>
  <c r="W54" i="12"/>
  <c r="X54" i="12" s="1"/>
  <c r="V26" i="12"/>
  <c r="W26" i="12"/>
  <c r="X26" i="12" s="1"/>
  <c r="V53" i="12"/>
  <c r="W53" i="12"/>
  <c r="X53" i="12" s="1"/>
  <c r="V25" i="12"/>
  <c r="W25" i="12"/>
  <c r="X25" i="12" s="1"/>
  <c r="V24" i="12"/>
  <c r="W24" i="12"/>
  <c r="X24" i="12" s="1"/>
  <c r="V52" i="12"/>
  <c r="W52" i="12"/>
  <c r="X52" i="12" s="1"/>
  <c r="V44" i="12"/>
  <c r="W44" i="12"/>
  <c r="X44" i="12" s="1"/>
  <c r="V10" i="12"/>
  <c r="W10" i="12"/>
  <c r="X10" i="12" s="1"/>
  <c r="V102" i="8"/>
  <c r="W102" i="8"/>
  <c r="V101" i="8"/>
  <c r="W101" i="8"/>
  <c r="V100" i="8"/>
  <c r="W100" i="8"/>
  <c r="V57" i="8"/>
  <c r="W57" i="8"/>
  <c r="V56" i="8"/>
  <c r="W56" i="8"/>
  <c r="V54" i="8"/>
  <c r="W54" i="8"/>
  <c r="V53" i="8"/>
  <c r="W53" i="8"/>
  <c r="V52" i="8"/>
  <c r="W52" i="8"/>
  <c r="V51" i="8"/>
  <c r="W51" i="8"/>
  <c r="V50" i="8"/>
  <c r="W50" i="8"/>
  <c r="V49" i="8"/>
  <c r="W49" i="8"/>
  <c r="V48" i="8"/>
  <c r="W48" i="8"/>
  <c r="V47" i="8"/>
  <c r="W47" i="8"/>
  <c r="V43" i="8"/>
  <c r="W43" i="8"/>
  <c r="V42" i="8"/>
  <c r="W42" i="8"/>
  <c r="V41" i="8"/>
  <c r="W41" i="8"/>
  <c r="V39" i="8"/>
  <c r="W39" i="8"/>
  <c r="V37" i="8"/>
  <c r="W37" i="8"/>
  <c r="V36" i="8"/>
  <c r="W36" i="8"/>
  <c r="V35" i="8"/>
  <c r="W35" i="8"/>
  <c r="V34" i="8"/>
  <c r="W34" i="8"/>
  <c r="V33" i="8"/>
  <c r="W33" i="8"/>
  <c r="G7" i="3"/>
  <c r="V32" i="8"/>
  <c r="W32" i="8"/>
  <c r="V28" i="8"/>
  <c r="W28" i="8"/>
  <c r="V27" i="8"/>
  <c r="W27" i="8"/>
  <c r="V26" i="8"/>
  <c r="W26" i="8"/>
  <c r="V25" i="8"/>
  <c r="W25" i="8"/>
  <c r="W16" i="8"/>
  <c r="V11" i="8"/>
  <c r="W11" i="8"/>
  <c r="V10" i="8"/>
  <c r="W10" i="8"/>
  <c r="V9" i="8"/>
  <c r="W9" i="8"/>
  <c r="T82" i="8"/>
  <c r="Y82" i="8"/>
  <c r="K28" i="3" s="1"/>
  <c r="V74" i="8"/>
  <c r="W74" i="8"/>
  <c r="Y67" i="8"/>
  <c r="J34" i="3" s="1"/>
  <c r="S67" i="8"/>
  <c r="AB45" i="12"/>
  <c r="Z45" i="12"/>
  <c r="AA45" i="12" s="1"/>
  <c r="AB41" i="12"/>
  <c r="Z41" i="12"/>
  <c r="AA41" i="12" s="1"/>
  <c r="Z40" i="12"/>
  <c r="AA40" i="12" s="1"/>
  <c r="AC12" i="11"/>
  <c r="AB37" i="12"/>
  <c r="Z37" i="12"/>
  <c r="AA37" i="12" s="1"/>
  <c r="AB36" i="12"/>
  <c r="Z36" i="12"/>
  <c r="AA36" i="12" s="1"/>
  <c r="AC8" i="11"/>
  <c r="Z35" i="12"/>
  <c r="AA35" i="12" s="1"/>
  <c r="AA23" i="11"/>
  <c r="AB23" i="12"/>
  <c r="Z23" i="12"/>
  <c r="AA23" i="12" s="1"/>
  <c r="AA22" i="11"/>
  <c r="Z22" i="12"/>
  <c r="AA22" i="12" s="1"/>
  <c r="AA19" i="11"/>
  <c r="AB19" i="12"/>
  <c r="Z19" i="12"/>
  <c r="AA19" i="12" s="1"/>
  <c r="Y31" i="12"/>
  <c r="AB31" i="11" s="1"/>
  <c r="Y59" i="12"/>
  <c r="Y58" i="12"/>
  <c r="AD30" i="11" s="1"/>
  <c r="Y30" i="12"/>
  <c r="AB30" i="11" s="1"/>
  <c r="Y57" i="12"/>
  <c r="Y56" i="12"/>
  <c r="AD28" i="11" s="1"/>
  <c r="Y55" i="12"/>
  <c r="Y27" i="12"/>
  <c r="AB27" i="11" s="1"/>
  <c r="Y54" i="12"/>
  <c r="AD26" i="11" s="1"/>
  <c r="Y26" i="12"/>
  <c r="AB26" i="11" s="1"/>
  <c r="Y53" i="12"/>
  <c r="Y25" i="12"/>
  <c r="AB25" i="11" s="1"/>
  <c r="Y24" i="12"/>
  <c r="AB24" i="11" s="1"/>
  <c r="Y52" i="12"/>
  <c r="AD24" i="11" s="1"/>
  <c r="Y44" i="12"/>
  <c r="AD16" i="11" s="1"/>
  <c r="Y10" i="12"/>
  <c r="AB10" i="11" s="1"/>
  <c r="Y102" i="8"/>
  <c r="K48" i="3" s="1"/>
  <c r="Y101" i="8"/>
  <c r="K47" i="3" s="1"/>
  <c r="Y100" i="8"/>
  <c r="K46" i="3" s="1"/>
  <c r="E9" i="3"/>
  <c r="Y57" i="8"/>
  <c r="I45" i="3" s="1"/>
  <c r="Y56" i="8"/>
  <c r="I44" i="3" s="1"/>
  <c r="Y54" i="8"/>
  <c r="I42" i="3" s="1"/>
  <c r="Y53" i="8"/>
  <c r="I41" i="3" s="1"/>
  <c r="Y52" i="8"/>
  <c r="I40" i="3" s="1"/>
  <c r="Y51" i="8"/>
  <c r="I39" i="3" s="1"/>
  <c r="Y50" i="8"/>
  <c r="I38" i="3" s="1"/>
  <c r="Y49" i="8"/>
  <c r="I37" i="3" s="1"/>
  <c r="Y48" i="8"/>
  <c r="I36" i="3" s="1"/>
  <c r="Y47" i="8"/>
  <c r="I35" i="3" s="1"/>
  <c r="Y43" i="8"/>
  <c r="I31" i="3" s="1"/>
  <c r="Y42" i="8"/>
  <c r="I30" i="3" s="1"/>
  <c r="Y41" i="8"/>
  <c r="I29" i="3" s="1"/>
  <c r="Y39" i="8"/>
  <c r="I27" i="3" s="1"/>
  <c r="Y37" i="8"/>
  <c r="I25" i="3" s="1"/>
  <c r="Y36" i="8"/>
  <c r="I24" i="3" s="1"/>
  <c r="Y35" i="8"/>
  <c r="I23" i="3" s="1"/>
  <c r="Y34" i="8"/>
  <c r="I22" i="3" s="1"/>
  <c r="Y33" i="8"/>
  <c r="I21" i="3" s="1"/>
  <c r="F7" i="3"/>
  <c r="E7" i="3"/>
  <c r="Y32" i="8"/>
  <c r="H48" i="3" s="1"/>
  <c r="Y28" i="8"/>
  <c r="H44" i="3" s="1"/>
  <c r="Y27" i="8"/>
  <c r="H43" i="3" s="1"/>
  <c r="Y26" i="8"/>
  <c r="H42" i="3" s="1"/>
  <c r="Y25" i="8"/>
  <c r="H41" i="3" s="1"/>
  <c r="Y11" i="8"/>
  <c r="H27" i="3" s="1"/>
  <c r="Y10" i="8"/>
  <c r="H26" i="3" s="1"/>
  <c r="Y9" i="8"/>
  <c r="H25" i="3" s="1"/>
  <c r="F6" i="3"/>
  <c r="E12" i="1"/>
  <c r="R29" i="12"/>
  <c r="V29" i="12" s="1"/>
  <c r="O29" i="12"/>
  <c r="S29" i="12" s="1"/>
  <c r="Y29" i="12"/>
  <c r="AB29" i="11" s="1"/>
  <c r="Q98" i="8"/>
  <c r="O98" i="8"/>
  <c r="R98" i="8" s="1"/>
  <c r="Y98" i="8"/>
  <c r="K44" i="3" s="1"/>
  <c r="Q97" i="8"/>
  <c r="O97" i="8"/>
  <c r="R97" i="8" s="1"/>
  <c r="Y97" i="8"/>
  <c r="K43" i="3" s="1"/>
  <c r="R96" i="8"/>
  <c r="O96" i="8"/>
  <c r="S96" i="8" s="1"/>
  <c r="Y96" i="8"/>
  <c r="K42" i="3" s="1"/>
  <c r="R95" i="8"/>
  <c r="O95" i="8"/>
  <c r="S95" i="8" s="1"/>
  <c r="Y95" i="8"/>
  <c r="K41" i="3" s="1"/>
  <c r="R94" i="8"/>
  <c r="O94" i="8"/>
  <c r="R93" i="8"/>
  <c r="O93" i="8"/>
  <c r="S93" i="8" s="1"/>
  <c r="Y93" i="8"/>
  <c r="K39" i="3" s="1"/>
  <c r="R92" i="8"/>
  <c r="O92" i="8"/>
  <c r="R91" i="8"/>
  <c r="O91" i="8"/>
  <c r="S91" i="8" s="1"/>
  <c r="Y91" i="8"/>
  <c r="K37" i="3" s="1"/>
  <c r="R90" i="8"/>
  <c r="O90" i="8"/>
  <c r="S90" i="8" s="1"/>
  <c r="Y90" i="8"/>
  <c r="K36" i="3" s="1"/>
  <c r="S88" i="8"/>
  <c r="O88" i="8"/>
  <c r="T88" i="8" s="1"/>
  <c r="Y88" i="8"/>
  <c r="K34" i="3" s="1"/>
  <c r="S87" i="8"/>
  <c r="O87" i="8"/>
  <c r="T87" i="8" s="1"/>
  <c r="Y87" i="8"/>
  <c r="K33" i="3" s="1"/>
  <c r="S86" i="8"/>
  <c r="O86" i="8"/>
  <c r="T86" i="8" s="1"/>
  <c r="Y86" i="8"/>
  <c r="K32" i="3" s="1"/>
  <c r="S85" i="8"/>
  <c r="O85" i="8"/>
  <c r="S81" i="8"/>
  <c r="O81" i="8"/>
  <c r="O46" i="8"/>
  <c r="T46" i="8" s="1"/>
  <c r="S46" i="8"/>
  <c r="Y46" i="8"/>
  <c r="I34" i="3" s="1"/>
  <c r="S45" i="8"/>
  <c r="O45" i="8"/>
  <c r="T45" i="8" s="1"/>
  <c r="Y45" i="8"/>
  <c r="I33" i="3" s="1"/>
  <c r="O44" i="8"/>
  <c r="T44" i="8" s="1"/>
  <c r="S44" i="8"/>
  <c r="Y44" i="8"/>
  <c r="I32" i="3" s="1"/>
  <c r="R31" i="8"/>
  <c r="O31" i="8"/>
  <c r="S31" i="8" s="1"/>
  <c r="Y31" i="8"/>
  <c r="H47" i="3" s="1"/>
  <c r="O30" i="8"/>
  <c r="R30" i="8"/>
  <c r="O29" i="8"/>
  <c r="R29" i="8"/>
  <c r="S20" i="8"/>
  <c r="O20" i="8"/>
  <c r="S17" i="8"/>
  <c r="O17" i="8"/>
  <c r="O16" i="8"/>
  <c r="T16" i="8" s="1"/>
  <c r="S16" i="8"/>
  <c r="V16" i="8" s="1"/>
  <c r="Y16" i="8"/>
  <c r="H32" i="3" s="1"/>
  <c r="S15" i="8"/>
  <c r="O15" i="8"/>
  <c r="T15" i="8" s="1"/>
  <c r="Y15" i="8"/>
  <c r="H31" i="3" s="1"/>
  <c r="O14" i="8"/>
  <c r="T14" i="8"/>
  <c r="T13" i="8"/>
  <c r="O13" i="8"/>
  <c r="U13" i="8" s="1"/>
  <c r="Y13" i="8"/>
  <c r="H29" i="3" s="1"/>
  <c r="V82" i="8"/>
  <c r="AA83" i="8" s="1"/>
  <c r="W82" i="8"/>
  <c r="W78" i="8"/>
  <c r="V78" i="8"/>
  <c r="AA79" i="8" s="1"/>
  <c r="W77" i="8"/>
  <c r="V77" i="8"/>
  <c r="C9" i="3"/>
  <c r="V75" i="8"/>
  <c r="W75" i="8"/>
  <c r="K97" i="7"/>
  <c r="Z59" i="8" s="1"/>
  <c r="L97" i="7"/>
  <c r="H84" i="7"/>
  <c r="Z64" i="8"/>
  <c r="D15" i="3" s="1"/>
  <c r="T15" i="12" l="1"/>
  <c r="Y15" i="12"/>
  <c r="AB15" i="11" s="1"/>
  <c r="Y14" i="12"/>
  <c r="AB14" i="11" s="1"/>
  <c r="T14" i="12"/>
  <c r="W29" i="12"/>
  <c r="X29" i="12" s="1"/>
  <c r="T46" i="12"/>
  <c r="Y46" i="12"/>
  <c r="AD18" i="11" s="1"/>
  <c r="W15" i="12"/>
  <c r="X15" i="12" s="1"/>
  <c r="V15" i="12"/>
  <c r="W14" i="12"/>
  <c r="X14" i="12" s="1"/>
  <c r="V14" i="12"/>
  <c r="AB39" i="12"/>
  <c r="AB40" i="12"/>
  <c r="Z39" i="12"/>
  <c r="AA39" i="12" s="1"/>
  <c r="AB35" i="12"/>
  <c r="AB34" i="12"/>
  <c r="Z34" i="12"/>
  <c r="AA34" i="12" s="1"/>
  <c r="AC6" i="11"/>
  <c r="W5" i="12"/>
  <c r="X5" i="12" s="1"/>
  <c r="V5" i="12"/>
  <c r="U5" i="12"/>
  <c r="Y5" i="12"/>
  <c r="AB5" i="11" s="1"/>
  <c r="AC18" i="11"/>
  <c r="AB46" i="12"/>
  <c r="Z46" i="12"/>
  <c r="AA46" i="12" s="1"/>
  <c r="V32" i="12"/>
  <c r="W32" i="12"/>
  <c r="X32" i="12" s="1"/>
  <c r="R32" i="12"/>
  <c r="Y32" i="12"/>
  <c r="AB32" i="11" s="1"/>
  <c r="R60" i="12"/>
  <c r="Y60" i="12"/>
  <c r="AD32" i="11" s="1"/>
  <c r="V60" i="12"/>
  <c r="W60" i="12"/>
  <c r="X60" i="12" s="1"/>
  <c r="V99" i="8"/>
  <c r="W99" i="8"/>
  <c r="R99" i="8"/>
  <c r="Y99" i="8"/>
  <c r="K45" i="3" s="1"/>
  <c r="E8" i="3"/>
  <c r="W66" i="8"/>
  <c r="V66" i="8"/>
  <c r="S66" i="8"/>
  <c r="Y66" i="8"/>
  <c r="J32" i="3" s="1"/>
  <c r="V40" i="8"/>
  <c r="W40" i="8"/>
  <c r="U40" i="8"/>
  <c r="Y40" i="8"/>
  <c r="I28" i="3" s="1"/>
  <c r="V24" i="8"/>
  <c r="W24" i="8"/>
  <c r="E6" i="3"/>
  <c r="S24" i="8"/>
  <c r="Y24" i="8"/>
  <c r="H40" i="3" s="1"/>
  <c r="V23" i="8"/>
  <c r="W23" i="8"/>
  <c r="T23" i="8"/>
  <c r="Y23" i="8"/>
  <c r="H39" i="3" s="1"/>
  <c r="W21" i="8"/>
  <c r="V21" i="8"/>
  <c r="AA22" i="8" s="1"/>
  <c r="T21" i="8"/>
  <c r="Y21" i="8"/>
  <c r="H37" i="3" s="1"/>
  <c r="V19" i="8"/>
  <c r="W19" i="8"/>
  <c r="T19" i="8"/>
  <c r="Y19" i="8"/>
  <c r="H35" i="3" s="1"/>
  <c r="T18" i="8"/>
  <c r="Y18" i="8"/>
  <c r="H34" i="3" s="1"/>
  <c r="W12" i="8"/>
  <c r="V12" i="8"/>
  <c r="U12" i="8"/>
  <c r="Y12" i="8"/>
  <c r="H28" i="3" s="1"/>
  <c r="Z21" i="12"/>
  <c r="AA21" i="12" s="1"/>
  <c r="AB22" i="12"/>
  <c r="AA21" i="11"/>
  <c r="AB21" i="12"/>
  <c r="AA20" i="11"/>
  <c r="AB20" i="12"/>
  <c r="Z20" i="12"/>
  <c r="AA20" i="12" s="1"/>
  <c r="S94" i="8"/>
  <c r="Y94" i="8"/>
  <c r="K40" i="3" s="1"/>
  <c r="S92" i="8"/>
  <c r="Y92" i="8"/>
  <c r="K38" i="3" s="1"/>
  <c r="S30" i="8"/>
  <c r="Y30" i="8"/>
  <c r="H46" i="3" s="1"/>
  <c r="S29" i="8"/>
  <c r="Y29" i="8"/>
  <c r="H45" i="3" s="1"/>
  <c r="O5" i="6"/>
  <c r="Z32" i="12"/>
  <c r="AA32" i="12" s="1"/>
  <c r="AB32" i="12"/>
  <c r="AA32" i="11"/>
  <c r="AC32" i="11"/>
  <c r="Z60" i="12"/>
  <c r="AA60" i="12"/>
  <c r="AB60" i="12"/>
  <c r="Z31" i="12"/>
  <c r="AA31" i="12"/>
  <c r="AB31" i="12"/>
  <c r="AA31" i="11"/>
  <c r="Z59" i="12"/>
  <c r="AA59" i="12" s="1"/>
  <c r="AB59" i="12"/>
  <c r="AC30" i="11"/>
  <c r="Z58" i="12"/>
  <c r="AA58" i="12" s="1"/>
  <c r="AB58" i="12"/>
  <c r="Z30" i="12"/>
  <c r="AA30" i="12" s="1"/>
  <c r="AB30" i="12"/>
  <c r="AA30" i="11"/>
  <c r="Z57" i="12"/>
  <c r="AA57" i="12" s="1"/>
  <c r="AB57" i="12"/>
  <c r="Z29" i="12"/>
  <c r="AA29" i="12" s="1"/>
  <c r="AB29" i="12"/>
  <c r="AA29" i="11"/>
  <c r="AC28" i="11"/>
  <c r="Z56" i="12"/>
  <c r="AA56" i="12"/>
  <c r="AB56" i="12"/>
  <c r="Z55" i="12"/>
  <c r="AA55" i="12"/>
  <c r="AB55" i="12"/>
  <c r="Z27" i="12"/>
  <c r="AA27" i="12"/>
  <c r="AB27" i="12"/>
  <c r="AA27" i="11"/>
  <c r="AC26" i="11"/>
  <c r="Z54" i="12"/>
  <c r="AA54" i="12" s="1"/>
  <c r="AB54" i="12"/>
  <c r="Z26" i="12"/>
  <c r="AA26" i="12"/>
  <c r="AB26" i="12"/>
  <c r="AA26" i="11"/>
  <c r="Z53" i="12"/>
  <c r="AA53" i="12"/>
  <c r="AB53" i="12"/>
  <c r="Z25" i="12"/>
  <c r="AA25" i="12"/>
  <c r="AB25" i="12"/>
  <c r="AA25" i="11"/>
  <c r="Z24" i="12"/>
  <c r="AA24" i="12"/>
  <c r="AB24" i="12"/>
  <c r="AA24" i="11"/>
  <c r="AC24" i="11"/>
  <c r="Z52" i="12"/>
  <c r="AA52" i="12" s="1"/>
  <c r="AB52" i="12"/>
  <c r="AC16" i="11"/>
  <c r="Z44" i="12"/>
  <c r="AA44" i="12" s="1"/>
  <c r="AB44" i="12"/>
  <c r="AB11" i="12"/>
  <c r="Z10" i="12"/>
  <c r="AA10" i="12" s="1"/>
  <c r="AB10" i="12"/>
  <c r="AA10" i="11"/>
  <c r="F48" i="3"/>
  <c r="AA102" i="8"/>
  <c r="H16" i="3"/>
  <c r="X102" i="8"/>
  <c r="AB102" i="8"/>
  <c r="F47" i="3"/>
  <c r="AA101" i="8"/>
  <c r="X101" i="8"/>
  <c r="AB101" i="8"/>
  <c r="F46" i="3"/>
  <c r="AA100" i="8"/>
  <c r="X100" i="8"/>
  <c r="AB100" i="8"/>
  <c r="F45" i="3"/>
  <c r="X99" i="8"/>
  <c r="AB99" i="8"/>
  <c r="E32" i="3"/>
  <c r="AA66" i="8"/>
  <c r="X66" i="8"/>
  <c r="AB66" i="8"/>
  <c r="D45" i="3"/>
  <c r="AA57" i="8"/>
  <c r="X57" i="8"/>
  <c r="AB57" i="8"/>
  <c r="D44" i="3"/>
  <c r="AA56" i="8"/>
  <c r="X56" i="8"/>
  <c r="AB56" i="8"/>
  <c r="D42" i="3"/>
  <c r="AA54" i="8"/>
  <c r="X54" i="8"/>
  <c r="AB54" i="8"/>
  <c r="D41" i="3"/>
  <c r="AA53" i="8"/>
  <c r="X53" i="8"/>
  <c r="AB53" i="8"/>
  <c r="D40" i="3"/>
  <c r="AA52" i="8"/>
  <c r="X52" i="8"/>
  <c r="AB52" i="8"/>
  <c r="D39" i="3"/>
  <c r="AA51" i="8"/>
  <c r="X51" i="8"/>
  <c r="AB51" i="8"/>
  <c r="D38" i="3"/>
  <c r="AA50" i="8"/>
  <c r="X50" i="8"/>
  <c r="AB50" i="8"/>
  <c r="D37" i="3"/>
  <c r="AA49" i="8"/>
  <c r="X49" i="8"/>
  <c r="AB49" i="8"/>
  <c r="D36" i="3"/>
  <c r="AA48" i="8"/>
  <c r="X48" i="8"/>
  <c r="AB48" i="8"/>
  <c r="D35" i="3"/>
  <c r="X47" i="8"/>
  <c r="AB47" i="8"/>
  <c r="D31" i="3"/>
  <c r="AA43" i="8"/>
  <c r="X43" i="8"/>
  <c r="AB43" i="8"/>
  <c r="D30" i="3"/>
  <c r="AA42" i="8"/>
  <c r="X42" i="8"/>
  <c r="AB42" i="8"/>
  <c r="D29" i="3"/>
  <c r="X41" i="8"/>
  <c r="AB41" i="8"/>
  <c r="D27" i="3"/>
  <c r="AA39" i="8"/>
  <c r="X39" i="8"/>
  <c r="AB39" i="8"/>
  <c r="D25" i="3"/>
  <c r="AA37" i="8"/>
  <c r="X37" i="8"/>
  <c r="AB37" i="8"/>
  <c r="D24" i="3"/>
  <c r="AA36" i="8"/>
  <c r="X36" i="8"/>
  <c r="AB36" i="8"/>
  <c r="O8" i="6" s="1"/>
  <c r="D23" i="3"/>
  <c r="AA35" i="8"/>
  <c r="X35" i="8"/>
  <c r="AB35" i="8"/>
  <c r="O7" i="6" s="1"/>
  <c r="D22" i="3"/>
  <c r="AA34" i="8"/>
  <c r="X34" i="8"/>
  <c r="AB34" i="8"/>
  <c r="O6" i="6" s="1"/>
  <c r="D21" i="3"/>
  <c r="X33" i="8"/>
  <c r="AB33" i="8"/>
  <c r="C48" i="3"/>
  <c r="AA32" i="8"/>
  <c r="H13" i="3"/>
  <c r="X32" i="8"/>
  <c r="AB32" i="8"/>
  <c r="C44" i="3"/>
  <c r="AA28" i="8"/>
  <c r="X28" i="8"/>
  <c r="AB28" i="8"/>
  <c r="C43" i="3"/>
  <c r="AA27" i="8"/>
  <c r="X27" i="8"/>
  <c r="AB27" i="8"/>
  <c r="C42" i="3"/>
  <c r="AA26" i="8"/>
  <c r="X26" i="8"/>
  <c r="AB26" i="8"/>
  <c r="C41" i="3"/>
  <c r="AA25" i="8"/>
  <c r="X25" i="8"/>
  <c r="AB25" i="8"/>
  <c r="C40" i="3"/>
  <c r="AA24" i="8"/>
  <c r="X24" i="8"/>
  <c r="AB24" i="8"/>
  <c r="C39" i="3"/>
  <c r="AA23" i="8"/>
  <c r="X23" i="8"/>
  <c r="AB23" i="8"/>
  <c r="C37" i="3"/>
  <c r="X21" i="8"/>
  <c r="AB21" i="8"/>
  <c r="C35" i="3"/>
  <c r="X19" i="8"/>
  <c r="AB19" i="8"/>
  <c r="O19" i="6" s="1"/>
  <c r="C32" i="3"/>
  <c r="AA16" i="8"/>
  <c r="X16" i="8"/>
  <c r="AB16" i="8"/>
  <c r="C28" i="3"/>
  <c r="AA12" i="8"/>
  <c r="X12" i="8"/>
  <c r="AB12" i="8"/>
  <c r="C27" i="3"/>
  <c r="AA11" i="8"/>
  <c r="X11" i="8"/>
  <c r="AB11" i="8"/>
  <c r="C26" i="3"/>
  <c r="AA10" i="8"/>
  <c r="X10" i="8"/>
  <c r="AB10" i="8"/>
  <c r="O10" i="6" s="1"/>
  <c r="C25" i="3"/>
  <c r="AA9" i="8"/>
  <c r="X9" i="8"/>
  <c r="AB9" i="8"/>
  <c r="E48" i="3"/>
  <c r="AA74" i="8"/>
  <c r="H15" i="3"/>
  <c r="X74" i="8"/>
  <c r="AB74" i="8"/>
  <c r="W67" i="8"/>
  <c r="V67" i="8"/>
  <c r="T81" i="8"/>
  <c r="Y81" i="8"/>
  <c r="K27" i="3" s="1"/>
  <c r="Y20" i="8"/>
  <c r="H36" i="3" s="1"/>
  <c r="T20" i="8"/>
  <c r="Y14" i="8"/>
  <c r="H30" i="3" s="1"/>
  <c r="U14" i="8"/>
  <c r="F28" i="3"/>
  <c r="AB82" i="8"/>
  <c r="X82" i="8"/>
  <c r="AB78" i="8"/>
  <c r="X78" i="8"/>
  <c r="AA78" i="8"/>
  <c r="F24" i="3"/>
  <c r="AB77" i="8"/>
  <c r="X77" i="8"/>
  <c r="AA77" i="8"/>
  <c r="F23" i="3"/>
  <c r="F21" i="3"/>
  <c r="AB75" i="8"/>
  <c r="X75" i="8"/>
  <c r="C15" i="3"/>
  <c r="B15" i="3"/>
  <c r="W98" i="8"/>
  <c r="V98" i="8"/>
  <c r="AA99" i="8" s="1"/>
  <c r="F9" i="3"/>
  <c r="W97" i="8"/>
  <c r="V97" i="8"/>
  <c r="V96" i="8"/>
  <c r="W96" i="8"/>
  <c r="V95" i="8"/>
  <c r="W95" i="8"/>
  <c r="V94" i="8"/>
  <c r="W94" i="8"/>
  <c r="W93" i="8"/>
  <c r="V93" i="8"/>
  <c r="V92" i="8"/>
  <c r="W92" i="8"/>
  <c r="V91" i="8"/>
  <c r="W91" i="8"/>
  <c r="W90" i="8"/>
  <c r="V90" i="8"/>
  <c r="W88" i="8"/>
  <c r="V88" i="8"/>
  <c r="V87" i="8"/>
  <c r="W87" i="8"/>
  <c r="V86" i="8"/>
  <c r="W86" i="8"/>
  <c r="T85" i="8"/>
  <c r="Y85" i="8"/>
  <c r="K31" i="3" s="1"/>
  <c r="V46" i="8"/>
  <c r="AA47" i="8" s="1"/>
  <c r="W46" i="8"/>
  <c r="V45" i="8"/>
  <c r="W45" i="8"/>
  <c r="V44" i="8"/>
  <c r="W44" i="8"/>
  <c r="W31" i="8"/>
  <c r="V31" i="8"/>
  <c r="V30" i="8"/>
  <c r="W30" i="8"/>
  <c r="W29" i="8"/>
  <c r="V29" i="8"/>
  <c r="T17" i="8"/>
  <c r="Y17" i="8"/>
  <c r="H33" i="3" s="1"/>
  <c r="V15" i="8"/>
  <c r="W15" i="8"/>
  <c r="D6" i="3"/>
  <c r="V13" i="8"/>
  <c r="W13" i="8"/>
  <c r="AA76" i="8"/>
  <c r="C14" i="3"/>
  <c r="B14" i="3"/>
  <c r="D14" i="3"/>
  <c r="I84" i="7"/>
  <c r="Z15" i="12" l="1"/>
  <c r="AA15" i="12"/>
  <c r="AB15" i="12"/>
  <c r="AA15" i="11"/>
  <c r="AB16" i="12"/>
  <c r="Z14" i="12"/>
  <c r="AB14" i="12"/>
  <c r="AA14" i="11"/>
  <c r="AA14" i="12"/>
  <c r="Z5" i="12"/>
  <c r="AA5" i="12" s="1"/>
  <c r="AA5" i="11"/>
  <c r="AB6" i="12"/>
  <c r="AA41" i="8"/>
  <c r="D28" i="3"/>
  <c r="AA40" i="8"/>
  <c r="X40" i="8"/>
  <c r="AB40" i="8"/>
  <c r="O12" i="6" s="1"/>
  <c r="W18" i="8"/>
  <c r="V18" i="8"/>
  <c r="AA19" i="8" s="1"/>
  <c r="V14" i="8"/>
  <c r="W14" i="8"/>
  <c r="W85" i="8"/>
  <c r="V85" i="8"/>
  <c r="G14" i="3"/>
  <c r="E14" i="3"/>
  <c r="F14" i="3"/>
  <c r="V17" i="8"/>
  <c r="W17" i="8"/>
  <c r="P6" i="6"/>
  <c r="X5" i="11"/>
  <c r="X8" i="11"/>
  <c r="P9" i="6"/>
  <c r="X7" i="11"/>
  <c r="P8" i="6"/>
  <c r="X6" i="11"/>
  <c r="P7" i="6"/>
  <c r="P20" i="6"/>
  <c r="X19" i="11"/>
  <c r="P11" i="6"/>
  <c r="X10" i="11"/>
  <c r="AB67" i="8"/>
  <c r="X67" i="8"/>
  <c r="I15" i="3" s="1"/>
  <c r="F15" i="3"/>
  <c r="E15" i="3"/>
  <c r="G15" i="3"/>
  <c r="AA68" i="8"/>
  <c r="AA67" i="8"/>
  <c r="E34" i="3"/>
  <c r="AB98" i="8"/>
  <c r="O28" i="6" s="1"/>
  <c r="X98" i="8"/>
  <c r="AA98" i="8"/>
  <c r="F44" i="3"/>
  <c r="AB97" i="8"/>
  <c r="O27" i="6" s="1"/>
  <c r="X97" i="8"/>
  <c r="AA97" i="8"/>
  <c r="F43" i="3"/>
  <c r="AA96" i="8"/>
  <c r="F42" i="3"/>
  <c r="AB96" i="8"/>
  <c r="O26" i="6" s="1"/>
  <c r="X96" i="8"/>
  <c r="AA95" i="8"/>
  <c r="F41" i="3"/>
  <c r="AB95" i="8"/>
  <c r="O25" i="6" s="1"/>
  <c r="X95" i="8"/>
  <c r="AA94" i="8"/>
  <c r="F40" i="3"/>
  <c r="AB94" i="8"/>
  <c r="O24" i="6" s="1"/>
  <c r="X94" i="8"/>
  <c r="AB93" i="8"/>
  <c r="O23" i="6" s="1"/>
  <c r="X93" i="8"/>
  <c r="AA93" i="8"/>
  <c r="F39" i="3"/>
  <c r="AA92" i="8"/>
  <c r="F38" i="3"/>
  <c r="AB92" i="8"/>
  <c r="O22" i="6" s="1"/>
  <c r="X92" i="8"/>
  <c r="AA91" i="8"/>
  <c r="F37" i="3"/>
  <c r="AB91" i="8"/>
  <c r="O21" i="6" s="1"/>
  <c r="X91" i="8"/>
  <c r="AB90" i="8"/>
  <c r="X90" i="8"/>
  <c r="AA90" i="8"/>
  <c r="F36" i="3"/>
  <c r="AB88" i="8"/>
  <c r="X88" i="8"/>
  <c r="AA88" i="8"/>
  <c r="F34" i="3"/>
  <c r="AA89" i="8"/>
  <c r="AA87" i="8"/>
  <c r="F33" i="3"/>
  <c r="AB87" i="8"/>
  <c r="X87" i="8"/>
  <c r="AA86" i="8"/>
  <c r="F32" i="3"/>
  <c r="AB86" i="8"/>
  <c r="X86" i="8"/>
  <c r="AB85" i="8"/>
  <c r="X85" i="8"/>
  <c r="AA85" i="8"/>
  <c r="F31" i="3"/>
  <c r="AA46" i="8"/>
  <c r="D34" i="3"/>
  <c r="AB46" i="8"/>
  <c r="X46" i="8"/>
  <c r="AA45" i="8"/>
  <c r="D33" i="3"/>
  <c r="AB45" i="8"/>
  <c r="X45" i="8"/>
  <c r="AA44" i="8"/>
  <c r="D32" i="3"/>
  <c r="AB44" i="8"/>
  <c r="O16" i="6" s="1"/>
  <c r="X44" i="8"/>
  <c r="I14" i="3" s="1"/>
  <c r="AB31" i="8"/>
  <c r="O31" i="6" s="1"/>
  <c r="X31" i="8"/>
  <c r="AA31" i="8"/>
  <c r="C47" i="3"/>
  <c r="AA30" i="8"/>
  <c r="C46" i="3"/>
  <c r="AB30" i="8"/>
  <c r="O30" i="6" s="1"/>
  <c r="X30" i="8"/>
  <c r="AB29" i="8"/>
  <c r="O29" i="6" s="1"/>
  <c r="X29" i="8"/>
  <c r="AA29" i="8"/>
  <c r="C45" i="3"/>
  <c r="AB18" i="8"/>
  <c r="X18" i="8"/>
  <c r="AA18" i="8"/>
  <c r="C34" i="3"/>
  <c r="AA17" i="8"/>
  <c r="C33" i="3"/>
  <c r="AB17" i="8"/>
  <c r="O17" i="6" s="1"/>
  <c r="X17" i="8"/>
  <c r="AA15" i="8"/>
  <c r="C31" i="3"/>
  <c r="AB15" i="8"/>
  <c r="O15" i="6" s="1"/>
  <c r="X15" i="8"/>
  <c r="AA14" i="8"/>
  <c r="C30" i="3"/>
  <c r="AB14" i="8"/>
  <c r="X14" i="8"/>
  <c r="AA13" i="8"/>
  <c r="C29" i="3"/>
  <c r="AB13" i="8"/>
  <c r="O13" i="6" s="1"/>
  <c r="X13" i="8"/>
  <c r="O32" i="6"/>
  <c r="X32" i="11" s="1"/>
  <c r="O9" i="6"/>
  <c r="V81" i="8"/>
  <c r="W81" i="8"/>
  <c r="W20" i="8"/>
  <c r="V20" i="8"/>
  <c r="J84" i="7"/>
  <c r="O18" i="6" l="1"/>
  <c r="P13" i="6"/>
  <c r="X12" i="11"/>
  <c r="Y12" i="11" s="1"/>
  <c r="Z12" i="11" s="1"/>
  <c r="Y5" i="11"/>
  <c r="Z5" i="11" s="1"/>
  <c r="Y8" i="11"/>
  <c r="Z8" i="11" s="1"/>
  <c r="Y7" i="11"/>
  <c r="Z7" i="11" s="1"/>
  <c r="Y6" i="11"/>
  <c r="Z6" i="11" s="1"/>
  <c r="Y19" i="11"/>
  <c r="Z19" i="11" s="1"/>
  <c r="Y10" i="11"/>
  <c r="Z10" i="11" s="1"/>
  <c r="X28" i="11"/>
  <c r="P29" i="6"/>
  <c r="X27" i="11"/>
  <c r="P28" i="6"/>
  <c r="X26" i="11"/>
  <c r="P27" i="6"/>
  <c r="X25" i="11"/>
  <c r="P26" i="6"/>
  <c r="X24" i="11"/>
  <c r="P25" i="6"/>
  <c r="X23" i="11"/>
  <c r="P24" i="6"/>
  <c r="P23" i="6"/>
  <c r="X22" i="11"/>
  <c r="X21" i="11"/>
  <c r="P22" i="6"/>
  <c r="X16" i="11"/>
  <c r="P17" i="6"/>
  <c r="P32" i="6"/>
  <c r="X31" i="11"/>
  <c r="P31" i="6"/>
  <c r="X30" i="11"/>
  <c r="P30" i="6"/>
  <c r="X29" i="11"/>
  <c r="P18" i="6"/>
  <c r="X17" i="11"/>
  <c r="P16" i="6"/>
  <c r="X15" i="11"/>
  <c r="P14" i="6"/>
  <c r="X13" i="11"/>
  <c r="Y32" i="11"/>
  <c r="Z32" i="11"/>
  <c r="X9" i="11"/>
  <c r="P10" i="6"/>
  <c r="F27" i="3"/>
  <c r="AA81" i="8"/>
  <c r="E16" i="3"/>
  <c r="F16" i="3"/>
  <c r="AA82" i="8"/>
  <c r="G16" i="3"/>
  <c r="X81" i="8"/>
  <c r="I16" i="3" s="1"/>
  <c r="AB81" i="8"/>
  <c r="O11" i="6" s="1"/>
  <c r="X20" i="8"/>
  <c r="I13" i="3" s="1"/>
  <c r="AB20" i="8"/>
  <c r="C36" i="3"/>
  <c r="AA20" i="8"/>
  <c r="AA21" i="8"/>
  <c r="O14" i="6"/>
  <c r="G13" i="3"/>
  <c r="E13" i="3"/>
  <c r="F13" i="3"/>
  <c r="L84" i="7"/>
  <c r="K84" i="7"/>
  <c r="P19" i="6" l="1"/>
  <c r="X18" i="11"/>
  <c r="Y18" i="11" s="1"/>
  <c r="Z18" i="11" s="1"/>
  <c r="Y28" i="11"/>
  <c r="Z28" i="11" s="1"/>
  <c r="Y27" i="11"/>
  <c r="Z27" i="11" s="1"/>
  <c r="Y26" i="11"/>
  <c r="Z26" i="11" s="1"/>
  <c r="Y25" i="11"/>
  <c r="Z25" i="11"/>
  <c r="Y24" i="11"/>
  <c r="Z24" i="11" s="1"/>
  <c r="Y23" i="11"/>
  <c r="Z23" i="11" s="1"/>
  <c r="Y22" i="11"/>
  <c r="Z22" i="11" s="1"/>
  <c r="Y21" i="11"/>
  <c r="Z21" i="11" s="1"/>
  <c r="Y16" i="11"/>
  <c r="Z16" i="11" s="1"/>
  <c r="Y31" i="11"/>
  <c r="Z31" i="11" s="1"/>
  <c r="Y30" i="11"/>
  <c r="Z30" i="11" s="1"/>
  <c r="Y29" i="11"/>
  <c r="Z29" i="11"/>
  <c r="Y17" i="11"/>
  <c r="Z17" i="11" s="1"/>
  <c r="Y15" i="11"/>
  <c r="Z15" i="11" s="1"/>
  <c r="Y13" i="11"/>
  <c r="Z13" i="11" s="1"/>
  <c r="Y9" i="11"/>
  <c r="Z9" i="11" s="1"/>
  <c r="X11" i="11"/>
  <c r="P12" i="6"/>
  <c r="X14" i="11"/>
  <c r="P15" i="6"/>
  <c r="B21" i="1"/>
  <c r="B20" i="1"/>
  <c r="Z97" i="8"/>
  <c r="O20" i="6"/>
  <c r="O33" i="6" s="1"/>
  <c r="F17" i="3"/>
  <c r="X33" i="11" l="1"/>
  <c r="Z11" i="11"/>
  <c r="Y11" i="11"/>
  <c r="Y14" i="11"/>
  <c r="Z14" i="11" s="1"/>
  <c r="B16" i="3"/>
  <c r="D16" i="3"/>
  <c r="C16" i="3"/>
  <c r="X20" i="11"/>
  <c r="P21" i="6"/>
  <c r="P33" i="6" s="1"/>
  <c r="Y20" i="11" l="1"/>
  <c r="Y33" i="11" l="1"/>
  <c r="Z33" i="11" s="1"/>
  <c r="Z20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5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임시값. 업그레이드 비용이 정해지면 이 계수 하나로 전체 골드 규모를 조절하세요.</t>
        </r>
      </text>
    </comment>
    <comment ref="C14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드랍 구성 시트에서 이 재화가 처음 드랍되는 스테이지와 건물 유형 (자동 계산)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G4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출처: 20261001_레벨디자인_Ver03_백승오 p08 「각 건물 스탯」</t>
        </r>
      </text>
    </comment>
    <comment ref="J4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= 체력 × 골드 계수 × 일반 배율 (설정 시트)</t>
        </r>
      </text>
    </comment>
    <comment ref="N4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출처: 레벨 디자인 Ver03 p09 「보너스 스테이지」. 황금 체력 = 일반 체력 × 1.5 (문서 값 그대로)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S4" authorId="0" shapeId="0" xr:uid="{00000000-0006-0000-0A00-000001000000}">
      <text>
        <r>
          <rPr>
            <sz val="11"/>
            <color theme="1"/>
            <rFont val="맑은 고딕"/>
            <family val="2"/>
            <scheme val="minor"/>
          </rPr>
          <t>출처: 20261004_레벨디자인_Ver04_백승오 p08 「각 건물 스탯」 공격 건물 공격력</t>
        </r>
      </text>
    </comment>
    <comment ref="X4" authorId="0" shapeId="0" xr:uid="{00000000-0006-0000-0A00-000002000000}">
      <text>
        <r>
          <rPr>
            <sz val="11"/>
            <color theme="1"/>
            <rFont val="맑은 고딕"/>
            <family val="2"/>
            <scheme val="minor"/>
          </rPr>
          <t>허들 설계 시트의 1회 기대 골드 (건물 + 보너스 30%). 업그레이드 요구 골드 가이드는 이 값 기준</t>
        </r>
      </text>
    </comment>
    <comment ref="Y4" authorId="0" shapeId="0" xr:uid="{00000000-0006-0000-0A00-000003000000}">
      <text>
        <r>
          <rPr>
            <sz val="11"/>
            <color theme="1"/>
            <rFont val="맑은 고딕"/>
            <family val="2"/>
            <scheme val="minor"/>
          </rPr>
          <t>건물 기준 + 기대 공중 골드. 공중 유닛 골드를 업그레이드 비용 설계에 넣을지는 협의 필요</t>
        </r>
      </text>
    </comment>
  </commentList>
</comments>
</file>

<file path=xl/sharedStrings.xml><?xml version="1.0" encoding="utf-8"?>
<sst xmlns="http://schemas.openxmlformats.org/spreadsheetml/2006/main" count="1096" uniqueCount="485">
  <si>
    <t>다녀가 용! 재화 배치 임시값 요약</t>
  </si>
  <si>
    <t>기준: 20261001_레벨디자인_Ver03_백승오 (스테이지·건물) + 20260930_컨셉기획서_Ver01_오승명 p10 (재화). 모든 골드 값은 임시값이며 설정 시트에서 조절.</t>
  </si>
  <si>
    <t>시대</t>
  </si>
  <si>
    <t>스테이지 골드</t>
  </si>
  <si>
    <t>보너스 골드</t>
  </si>
  <si>
    <t>시대 합계</t>
  </si>
  <si>
    <t>전체 대비 비중</t>
  </si>
  <si>
    <t>1-1 대비 배수 (스테이지 1개 평균)</t>
  </si>
  <si>
    <t>원시</t>
  </si>
  <si>
    <t>고대</t>
  </si>
  <si>
    <t>중세</t>
  </si>
  <si>
    <t>산업</t>
  </si>
  <si>
    <t>현대</t>
  </si>
  <si>
    <t>미래</t>
  </si>
  <si>
    <t>우주</t>
  </si>
  <si>
    <t>합계</t>
  </si>
  <si>
    <t>주요 지표</t>
  </si>
  <si>
    <t>1-1 스테이지 골드 (보너스 제외)</t>
  </si>
  <si>
    <t>7-4 스테이지 골드 (보너스 제외)</t>
  </si>
  <si>
    <t>1-1 일반 건물 1개 골드</t>
  </si>
  <si>
    <t>7-4 랜드마크 골드</t>
  </si>
  <si>
    <t>전 스테이지 1회 클리어 누적 골드 (보너스 포함)</t>
  </si>
  <si>
    <t>건물 1개 최대 드랍 개수</t>
  </si>
  <si>
    <t>건물 1개 최소 드랍 개수</t>
  </si>
  <si>
    <t>드랍 재배치 개편안 (Ver03): 인크리멘탈 문법에 맞춘 재화 성장 설계</t>
  </si>
  <si>
    <t>기준: 20261001_레벨디자인_Ver03_백승오 (건물 수·체력·보너스 스테이지) / Ver02 드랍 구성 분석 결과. 원본 시트(드랍 구성·스테이지별 골드)는 수정하지 않고 비교용으로 남김.</t>
  </si>
  <si>
    <t>Ver02의 문제</t>
  </si>
  <si>
    <t>① 상위 재화가 해금되는 순간 드랍 개수가 급감함 (예: 일반 4-1 금괴 24개 → 4-2 사파이어 6개). 보상은 +25%인데 화면은 1/4로 줄어듦</t>
  </si>
  <si>
    <t>② 잔돈(코인 1~4개)이 불규칙하게 섞여 시각적 노이즈가 생김. 7-1 공격 건물은 루비 21개 + 코인 4개(전체의 0.2%)</t>
  </si>
  <si>
    <t>③ 재화 등장 시점이 "골드 ≥ 등급 × 5"라는 산술 조건에 끌려가서, 허들이나 시대 전환 같은 게임 이벤트와 연결되지 않음</t>
  </si>
  <si>
    <t>설계 원칙 (인크리멘탈 장르 문법)</t>
  </si>
  <si>
    <t>1. 숫자는 항상 커진다: 건물 1개 드랍 개수가 스테이지마다 늘거나 유지됨 (감소 0회). 새 시대에 들어서면 한 단계 더 늘어남</t>
  </si>
  <si>
    <t>2. 교체가 아니라 섞여 들어온다: 인접 2등급만 섞고, 상위 재화 비중이 스테이지마다 점점 커짐. 잔돈 재화 없음</t>
  </si>
  <si>
    <t>3. 신규 재화 = 허들 돌파 보상: 홀수 시대 보스(1-4 / 3-4 / 5-4 / 7-4)에서 사파이어 / 루비 / 다이아몬드 / 왕관이 처음 등장</t>
  </si>
  <si>
    <t>4. 짝수 시대 보스(2-4 / 4-4 / 6-4)에서는 그 재화가 골드 비중 기준 주력으로 승격됨 (개수로는 40~50%) → 시대마다 재화 쪽 사건이 1번씩 생김</t>
  </si>
  <si>
    <t>5. 건물 위계 = 재화 위계: 신규 재화는 랜드마크 → 황금 → 공격 → 일반 순서로 1~3시대에 걸쳐 내려옴 (상위 건물이 다음 재화를 미리 보여 줌)</t>
  </si>
  <si>
    <t>6. 잭팟은 양으로 보여 준다: 황금 건물이 가장 많이 쏟아지도록 함 (18 → 44개). 왕관은 최종 보스 전용 엔딩 재화로 희소성 유지</t>
  </si>
  <si>
    <t>허들 리듬 (허들 설계 시트)</t>
  </si>
  <si>
    <t>시대(4스테이지) 단위로 돌파(x-1) → 소허들(x-2 랜드마크) → 평탄(x-3) → 대허들(x-4 보스)이 반복됨</t>
  </si>
  <si>
    <t>대허들: 공격 건물·랜드마크 체력 ×1.3 제안, 목표 반복 횟수 2회 → 5회 (시대마다 +0.5). 벽이 점점 높아지는 인크리멘탈 곡선</t>
  </si>
  <si>
    <t>돌파: 체력 ×0.9 제안 + 드랍 개수 시대 보너스 +7% → 벽을 넘은 직후 "강해졌다"는 쾌감을 줌</t>
  </si>
  <si>
    <t>업그레이드 요구 골드(가이드) = 목표 반복 횟수 × 직전 스테이지 1회 기대 골드. 업그레이드 비용표를 만들 때 목표값으로 사용</t>
  </si>
  <si>
    <t>골드는 원본 체력 기준을 유지함 (보상 곡선이 매끄럽게 유지됨). 허들 체력 상향은 난이도에만 반영되어 벽 구간의 골드 효율이 떨어짐 = 허들</t>
  </si>
  <si>
    <t>드랍 계산 규칙 (드랍 구성 (개편) 시트)</t>
  </si>
  <si>
    <t>① 목표 개수 = 기준 개수 × (1+스테이지당 증가율)^(순번-1) × (1+시대 돌파 증가율)^(시대-1)</t>
  </si>
  <si>
    <t>② 평균 단가 = 목표 골드 ÷ 목표 개수. 평균 단가 바로 아래 등급(하위)과 바로 위 등급(상위)을 고름. 데뷔 전 등급은 제외</t>
  </si>
  <si>
    <t>③ 상위 개수 = (골드 - 개수×하위 단가) ÷ (상위 단가 - 하위 단가) 반올림, 하위 개수 = 목표 개수 - 상위 개수</t>
  </si>
  <si>
    <t>④ 개수를 정확히 맞추는 대신 골드는 재화 단위로 양자화됨. 건물별 오차는 소액 구간에서 최대 약 ±12.5% (일반 3-3), 전체 합계 오차는 +0.1%</t>
  </si>
  <si>
    <t>조정 방법</t>
  </si>
  <si>
    <t>설정 시트 25~50행의 파란 글씨만 수정: 유형별 기준 개수·증가율, 재화 데뷔 스테이지, 허들 등급별 반복 횟수·체력 배율, 보너스 획득률</t>
  </si>
  <si>
    <t>데뷔를 너무 앞당기면 평균 단가가 해당 등급에 못 미쳐 실제 등장은 늦어짐. 반대로 너무 늦추면 하위 재화만으로 골드를 채워 개수가 크게 늘어남 (개편 요약 2번 표로 확인)</t>
  </si>
  <si>
    <t>확인이 필요한 가정</t>
  </si>
  <si>
    <t>업그레이드 비용표가 아직 없어서 허들은 "목표 반복 횟수"와 "체력 배율 제안"으로만 표현함. 비용표가 생기면 요구 골드 가이드와 맞춰 볼 것</t>
  </si>
  <si>
    <t>황금 건물 44개는 연출 성능(동시 오브젝트 수) 확인이 필요함. 부담되면 설정 B29 / C29를 낮출 것</t>
  </si>
  <si>
    <t>레벨디자인 문서 p05(프랑스 → 독일)와 p07~p09(독일 → 프랑스)의 중세 지역 순서가 서로 다름. 스테이지별 골드 시트는 p05 순서를 따름</t>
  </si>
  <si>
    <t>드랍 재배치 개편 요약 (Ver02 → Ver03)</t>
  </si>
  <si>
    <t>모든 값은 수식. 설정 시트의 개편안 입력값을 바꾸면 갱신됨.</t>
  </si>
  <si>
    <t>1. 재화별 첫 등장 스테이지 (신규 재화 = 대허들 돌파 보상)</t>
  </si>
  <si>
    <t>건물 유형</t>
  </si>
  <si>
    <t>금 코인</t>
  </si>
  <si>
    <t>금괴</t>
  </si>
  <si>
    <t>사파이어</t>
  </si>
  <si>
    <t>루비</t>
  </si>
  <si>
    <t>다이아몬드</t>
  </si>
  <si>
    <t>왕관</t>
  </si>
  <si>
    <t>일반</t>
  </si>
  <si>
    <t>공격</t>
  </si>
  <si>
    <t>랜드마크</t>
  </si>
  <si>
    <t>황금 (보너스)</t>
  </si>
  <si>
    <t>2. 건물 1개 드랍 개수 비교</t>
  </si>
  <si>
    <t>Ver02 최소</t>
  </si>
  <si>
    <t>Ver02 최대</t>
  </si>
  <si>
    <t>Ver02 개수 감소 횟수</t>
  </si>
  <si>
    <t>Ver03 최소</t>
  </si>
  <si>
    <t>Ver03 최대</t>
  </si>
  <si>
    <t>Ver03 개수 감소 횟수</t>
  </si>
  <si>
    <t>Ver03 1-1→7-4 증가 배수</t>
  </si>
  <si>
    <t>Ver03 최대 골드 오차</t>
  </si>
  <si>
    <t>전체 골드 오차 (확정 골드 합 ÷ 목표 골드 합 - 1)</t>
  </si>
  <si>
    <t>3. 스테이지별 드랍 개수 · 주력 재화</t>
  </si>
  <si>
    <t>스테이지</t>
  </si>
  <si>
    <t>허들 등급</t>
  </si>
  <si>
    <t>일반 개수</t>
  </si>
  <si>
    <t>공격 개수</t>
  </si>
  <si>
    <t>랜드마크 개수</t>
  </si>
  <si>
    <t>황금 개수</t>
  </si>
  <si>
    <t>Ver02 일반 개수</t>
  </si>
  <si>
    <t>일반 주력</t>
  </si>
  <si>
    <t>공격 주력</t>
  </si>
  <si>
    <t>랜드마크 주력</t>
  </si>
  <si>
    <t>황금 주력</t>
  </si>
  <si>
    <t>신규 재화 데뷔</t>
  </si>
  <si>
    <t>재화 배치 임시값 · 설정</t>
  </si>
  <si>
    <t>파란 글씨 = 수정 가능한 입력값 / 노란 칸 = 핵심 가정 / 검정 = 수식 / 초록 = 다른 시트 참조. 입력값을 바꾸면 모든 시트가 다시 계산됩니다.</t>
  </si>
  <si>
    <t>항목</t>
  </si>
  <si>
    <t>값</t>
  </si>
  <si>
    <t>단위</t>
  </si>
  <si>
    <t>설명</t>
  </si>
  <si>
    <t>골드 계수 (체력 1당 골드)</t>
  </si>
  <si>
    <t>골드/체력</t>
  </si>
  <si>
    <t>건물 1개 골드 = 체력 × 골드 계수 × 유형 배율 (반올림). 체력에 비례해 시대가 갈수록 자연스럽게 증가</t>
  </si>
  <si>
    <t>유형 배율: 일반 건물</t>
  </si>
  <si>
    <t>배</t>
  </si>
  <si>
    <t>기준</t>
  </si>
  <si>
    <t>유형 배율: 공격 건물</t>
  </si>
  <si>
    <t>드래곤을 공격하는 위험 보상. 체력이 일반의 약 1.3배라 실제 골드는 일반의 약 1.56배</t>
  </si>
  <si>
    <t>유형 배율: 랜드마크</t>
  </si>
  <si>
    <t>짝수 스테이지 관문. 체력이 일반의 5배라 실제 골드는 일반의 7.5배</t>
  </si>
  <si>
    <t>유형 배율: 황금 건물</t>
  </si>
  <si>
    <t>보너스 스테이지 잭팟. 체력이 일반의 1.5배라 실제 골드는 일반의 4.5배. 전부 부수면 보너스가 스테이지보다 많지만, 기력 제한으로 일부만 부수는 것을 전제</t>
  </si>
  <si>
    <t>최소 드랍 개수</t>
  </si>
  <si>
    <t>개</t>
  </si>
  <si>
    <t>건물 1개가 최소 이 개수 이상 쏟아지도록, 가능한 가장 높은 등급의 재화를 고름</t>
  </si>
  <si>
    <t>인게임 드랍 자원</t>
  </si>
  <si>
    <t>재화</t>
  </si>
  <si>
    <t>환산 골드</t>
  </si>
  <si>
    <t>첫 등장 (계산)</t>
  </si>
  <si>
    <t>비고</t>
  </si>
  <si>
    <t>잔돈 처리용, 항상 드랍 가능</t>
  </si>
  <si>
    <t>개편안 (Ver03) · 건물 유형별 드랍 개수 곡선</t>
  </si>
  <si>
    <t>목표 개수 = 기준 개수 × (1+스테이지당 증가율)^(순번-1) × (1+시대 돌파 증가율)^(시대-1). 개수는 스테이지마다 늘거나 유지되고, 새 시대에 들어서면 한 단계 더 늘어남.</t>
  </si>
  <si>
    <t>1-1 기준 개수</t>
  </si>
  <si>
    <t>스테이지당 증가율</t>
  </si>
  <si>
    <t>시대 돌파 증가율</t>
  </si>
  <si>
    <t>데뷔 지연 (스테이지)</t>
  </si>
  <si>
    <t>설계 의도</t>
  </si>
  <si>
    <t>기준선. 끝까지 2종 블렌드로 루비까지 도달, 다이아·왕관은 주지 않음</t>
  </si>
  <si>
    <t>위험 보상. 일반보다 개수 20% 많고 상위 재화 비중이 반 시대 정도 앞섬</t>
  </si>
  <si>
    <t>관문·보스. 신규 재화가 처음 등장하는 무대 (데뷔 지연 0)</t>
  </si>
  <si>
    <t>잭팟. 가장 많이 쏟아지는 건물. 신규 재화를 보스 직후 보너스에서 바로 지급</t>
  </si>
  <si>
    <t>재화 데뷔 일정 (대허들 돌파 보상)</t>
  </si>
  <si>
    <t>각 재화는 데뷔 순번 + 데뷔 지연 이후 스테이지부터 드랍 가능 (1-1 기본 재화는 지연 없음). 홀수 시대 보스(x-4 랜드마크)에서 데뷔하고, 짝수 시대 보스에서 주력으로 승격되도록 맞춤.</t>
  </si>
  <si>
    <t>데뷔 스테이지</t>
  </si>
  <si>
    <t>데뷔 순번</t>
  </si>
  <si>
    <t>1-1</t>
  </si>
  <si>
    <t>기본 재화</t>
  </si>
  <si>
    <t>기본 재화 (원시 시대는 코인→금괴 블렌드)</t>
  </si>
  <si>
    <t>1-4</t>
  </si>
  <si>
    <t>원시 보스 랜드마크에서 데뷔</t>
  </si>
  <si>
    <t>3-4</t>
  </si>
  <si>
    <t>중세 보스 랜드마크에서 데뷔</t>
  </si>
  <si>
    <t>5-4</t>
  </si>
  <si>
    <t>현대 보스 랜드마크에서 데뷔</t>
  </si>
  <si>
    <t>7-4</t>
  </si>
  <si>
    <t>최종 보스(화성) 전용 엔딩 재화</t>
  </si>
  <si>
    <t>허들 설계 기준</t>
  </si>
  <si>
    <t>목표 반복 횟수 = 다음 스테이지로 가기 위해 직전 스테이지를 몇 번 플레이해야 하는지 (업그레이드 비용 설계 목표). 체력 배율은 레벨 디자인 원본 체력에 곱하는 제안값이며 골드 계산에는 쓰지 않음.</t>
  </si>
  <si>
    <t>목표 반복 횟수</t>
  </si>
  <si>
    <t>시대당 추가 반복</t>
  </si>
  <si>
    <t>체력 배율: 일반</t>
  </si>
  <si>
    <t>체력 배율: 공격</t>
  </si>
  <si>
    <t>체력 배율: 랜드마크</t>
  </si>
  <si>
    <t>튜토리얼</t>
  </si>
  <si>
    <t>1-1. 첫 업그레이드 없이 클리어</t>
  </si>
  <si>
    <t>돌파</t>
  </si>
  <si>
    <t>x-1. 보스를 넘은 직후: 체력을 살짝 낮춰 "강해졌다"는 쾌감 + 새 시대 개수 증가</t>
  </si>
  <si>
    <t>평탄</t>
  </si>
  <si>
    <t>x-3. 원본 곡선 그대로, 1회 클리어로 진행</t>
  </si>
  <si>
    <t>소허들</t>
  </si>
  <si>
    <t>x-2. 지역 랜드마크 관문, 반 번 정도 추가 파밍</t>
  </si>
  <si>
    <t>대허들</t>
  </si>
  <si>
    <t>x-4. 시대 보스. 공격 건물·랜드마크 체력 상향, 시대가 갈수록 벽이 높아짐 (2회→5회)</t>
  </si>
  <si>
    <t>보너스 스테이지 기대 획득률</t>
  </si>
  <si>
    <t>%</t>
  </si>
  <si>
    <t>기력 제한으로 황금 건물을 일부만 부순다는 전제 (1회 기대 골드 계산용)</t>
  </si>
  <si>
    <t>스테이지별 골드 배치 (임시값)</t>
  </si>
  <si>
    <t>건물 수·체력은 레벨 디자인 Ver03 p07~p09 원본 값(파란 글씨). 골드는 설정 시트의 계수로 계산. 중세 지역 순서는 p07~p09 표 기준(독일 → 프랑스).</t>
  </si>
  <si>
    <t>건물 수 (p07)</t>
  </si>
  <si>
    <t>건물 체력 (p08)</t>
  </si>
  <si>
    <t>건물별 골드</t>
  </si>
  <si>
    <t>보너스 스테이지 (p09)</t>
  </si>
  <si>
    <t>지역</t>
  </si>
  <si>
    <t>일반 1개</t>
  </si>
  <si>
    <t>공격 1개</t>
  </si>
  <si>
    <t>스테이지 합계</t>
  </si>
  <si>
    <t>황금 건물 수</t>
  </si>
  <si>
    <t>황금 체력</t>
  </si>
  <si>
    <t>황금 1개</t>
  </si>
  <si>
    <t>보너스 합계</t>
  </si>
  <si>
    <t>스테이지 + 보너스</t>
  </si>
  <si>
    <t>누적 골드</t>
  </si>
  <si>
    <t>공룡</t>
  </si>
  <si>
    <t>1-2</t>
  </si>
  <si>
    <t>원시인</t>
  </si>
  <si>
    <t>1-3</t>
  </si>
  <si>
    <t>이집트</t>
  </si>
  <si>
    <t>2-1</t>
  </si>
  <si>
    <t>2-2</t>
  </si>
  <si>
    <t>그리스</t>
  </si>
  <si>
    <t>2-3</t>
  </si>
  <si>
    <t>2-4</t>
  </si>
  <si>
    <t>프랑스</t>
  </si>
  <si>
    <t>3-1</t>
  </si>
  <si>
    <t>3-2</t>
  </si>
  <si>
    <t>독일</t>
  </si>
  <si>
    <t>3-3</t>
  </si>
  <si>
    <t>영국</t>
  </si>
  <si>
    <t>4-1</t>
  </si>
  <si>
    <t>4-2</t>
  </si>
  <si>
    <t>미국</t>
  </si>
  <si>
    <t>4-3</t>
  </si>
  <si>
    <t>4-4</t>
  </si>
  <si>
    <t>5-1</t>
  </si>
  <si>
    <t>5-2</t>
  </si>
  <si>
    <t>한국</t>
  </si>
  <si>
    <t>5-3</t>
  </si>
  <si>
    <t>일본</t>
  </si>
  <si>
    <t>6-1</t>
  </si>
  <si>
    <t>6-2</t>
  </si>
  <si>
    <t>중국</t>
  </si>
  <si>
    <t>6-3</t>
  </si>
  <si>
    <t>6-4</t>
  </si>
  <si>
    <t>달</t>
  </si>
  <si>
    <t>7-1</t>
  </si>
  <si>
    <t>7-2</t>
  </si>
  <si>
    <t>화성</t>
  </si>
  <si>
    <t>7-3</t>
  </si>
  <si>
    <t>스테이지 허들 설계 · 개편안 (Ver03)</t>
  </si>
  <si>
    <t>시대(4스테이지) 단위 리듬: 돌파(x-1) → 소허들(x-2) → 평탄(x-3) → 대허들(x-4 보스). 허들 등급(파란 글씨)을 바꾸면 반복 횟수·제안 체력·요구 골드가 다시 계산됨.</t>
  </si>
  <si>
    <t>순번</t>
  </si>
  <si>
    <t>시대 번호</t>
  </si>
  <si>
    <t>일반 체력 (원본)</t>
  </si>
  <si>
    <t>일반 체력 (제안)</t>
  </si>
  <si>
    <t>공격 체력 (원본)</t>
  </si>
  <si>
    <t>공격 체력 (제안)</t>
  </si>
  <si>
    <t>랜드마크 체력 (원본)</t>
  </si>
  <si>
    <t>랜드마크 체력 (제안)</t>
  </si>
  <si>
    <t>일반 체력 증가율 (제안)</t>
  </si>
  <si>
    <t>1회 기대 골드 (개편)</t>
  </si>
  <si>
    <t>업그레이드 요구 골드 (가이드)</t>
  </si>
  <si>
    <t>누적 플레이 횟수</t>
  </si>
  <si>
    <t>-</t>
  </si>
  <si>
    <t>금 코인 · 금괴 (기본)</t>
  </si>
  <si>
    <t>코인만 쏟아지는 첫 경험. 업그레이드 없이 클리어</t>
  </si>
  <si>
    <t>지역 랜드마크 관문. 직전 스테이지를 0.5회 정도 추가 파밍</t>
  </si>
  <si>
    <t>원본 곡선. 다음 재화 비중이 조금씩 오름</t>
  </si>
  <si>
    <t>시대 보스. 공격·랜드마크 체력 상향, 반복 파밍이 필요한 벽</t>
  </si>
  <si>
    <t>보스 직후 체력 -10%, 새 시대 개수 +7%: 성장을 체감시키는 구간</t>
  </si>
  <si>
    <t>건물 1개당 드랍 구성 (임시값)</t>
  </si>
  <si>
    <t>골드를 「최소 드랍 개수」 이상이 되는 가장 높은 등급부터 채우고, 남는 금액은 낮은 등급으로 채움. 개수 = 화면에 쏟아지는 재화 오브젝트 수.</t>
  </si>
  <si>
    <t>환산 골드 →</t>
  </si>
  <si>
    <t>골드 / 개</t>
  </si>
  <si>
    <t>최고 등급 (골드)</t>
  </si>
  <si>
    <t>드랍 개수</t>
  </si>
  <si>
    <t>검산 (골드)</t>
  </si>
  <si>
    <t>건물 1개당 드랍 구성 · 개편안 (Ver03)</t>
  </si>
  <si>
    <t>목표 개수를 먼저 정하고, 평균 단가(골드÷개수) 양옆의 인접 2등급을 섞어 개수를 정확히 맞춤. 상위 등급은 데뷔 일정 이전엔 쓰지 않음. 골드는 재화 단위로 양자화되어 건물별 ±오차가 생김(검산 열).</t>
  </si>
  <si>
    <t>목표 골드</t>
  </si>
  <si>
    <t>건물 수</t>
  </si>
  <si>
    <t>목표 개수</t>
  </si>
  <si>
    <t>평균 단가</t>
  </si>
  <si>
    <t>해금 최고 등급</t>
  </si>
  <si>
    <t>하위 등급</t>
  </si>
  <si>
    <t>상위 등급</t>
  </si>
  <si>
    <t>하위 단가</t>
  </si>
  <si>
    <t>상위 단가</t>
  </si>
  <si>
    <t>상위 개수</t>
  </si>
  <si>
    <t>하위 개수</t>
  </si>
  <si>
    <t>확정 골드</t>
  </si>
  <si>
    <t>골드 오차</t>
  </si>
  <si>
    <t>주력 재화</t>
  </si>
  <si>
    <t>Ver02 드랍 개수</t>
  </si>
  <si>
    <t>직전 대비 개수</t>
  </si>
  <si>
    <t>건물 합계 골드</t>
  </si>
  <si>
    <t>공중 유닛 재화 배치 · 설정 (임시값)</t>
  </si>
  <si>
    <t>파란 글씨 = 수정 가능한 입력값 / 노란 칸 = 핵심 가정. 기존 설정 시트의 골드 계수(설정!B5)·재화 단가·재화 데뷔 일정을 그대로 사용함. 공중 유닛 28종은 모두 공격형.</t>
  </si>
  <si>
    <t>1번 유닛</t>
  </si>
  <si>
    <t>2번 유닛</t>
  </si>
  <si>
    <t>체력 배율 (기준 건물 대비)</t>
  </si>
  <si>
    <t>1번 = 같은 스테이지 일반 건물 체력 기준, 2번 = 공격 건물 체력 기준</t>
  </si>
  <si>
    <t>공격력 배율 (공격 건물 대비)</t>
  </si>
  <si>
    <t>같은 스테이지 공격 건물 공격력 기준</t>
  </si>
  <si>
    <t>공격 속도</t>
  </si>
  <si>
    <t>aps</t>
  </si>
  <si>
    <t>공격 건물·랜드마크(1 aps)보다 느린 원거리 공격. 꼬리 회오리로 패링 가능한 탄</t>
  </si>
  <si>
    <t>골드 위치 (일반 건물 → 공격 건물)</t>
  </si>
  <si>
    <t>비율</t>
  </si>
  <si>
    <t>캐릭터 기획서 Ver02 p9 「일반 건물과 공격 건물 사이 수준의 보상」. 골드 = 일반 건물 골드 + (공격 건물 골드 - 일반 건물 골드) × 이 비율</t>
  </si>
  <si>
    <t>화면 체류</t>
  </si>
  <si>
    <t>처치 전까지</t>
  </si>
  <si>
    <t>클리어 방해 요소라 처치할 때까지 남아 압박 (캐릭터 기획서 Ver02 p9)</t>
  </si>
  <si>
    <t>기대 처치 비율 (최대 등장 대비)</t>
  </si>
  <si>
    <t>25초 전에 클리어하면 등장 수가 줄고, 액티브 스킬 횟수도 제한됨. 1회 기대 골드 계산용 가정값</t>
  </si>
  <si>
    <t>피격 드랍 비율</t>
  </si>
  <si>
    <t>보조기 한 번에 파괴되는 낮은 체력이라 피격 드랍 없이 처치 시 전부 드랍</t>
  </si>
  <si>
    <t>드랍 기준 개수 (1-1)</t>
  </si>
  <si>
    <t>개편안과 같은 목표 개수 곡선. 공중 유닛은 건물보다 적게, 더 높은 단가로</t>
  </si>
  <si>
    <t>스테이지당 개수 증가율</t>
  </si>
  <si>
    <t>시대 돌파 개수 증가율</t>
  </si>
  <si>
    <t>신규 재화는 항상 랜드마크가 먼저 보여 주고, 공중 유닛은 다음 스테이지부터 사용</t>
  </si>
  <si>
    <t>(미사용) 시대 증가 간격</t>
  </si>
  <si>
    <t>마리 수는 아래 등장 시점 표로 정함</t>
  </si>
  <si>
    <t>등장 시점 (캐릭터 기획서 Ver02 p9 「일정 시간마다 1개씩 등장 · 3초 / 10초 / 25초」)</t>
  </si>
  <si>
    <t>등장 시점</t>
  </si>
  <si>
    <t>홀수 스테이지</t>
  </si>
  <si>
    <t>짝수 스테이지</t>
  </si>
  <si>
    <t>설명 (등장하는 유닛 번호)</t>
  </si>
  <si>
    <t>스테이지 시작 3초</t>
  </si>
  <si>
    <t>첫 공중 유닛</t>
  </si>
  <si>
    <t>스테이지 시작 10초</t>
  </si>
  <si>
    <t>스테이지 시작 25초</t>
  </si>
  <si>
    <t>짝수(랜드마크) 스테이지는 2번 유닛이 등장</t>
  </si>
  <si>
    <t>스테이지당 최대 3마리. 25초 전에 클리어하면 그 뒤 슬롯은 등장하지 않음 (오래 걸릴수록 압박). 공중 골드는 최대 등장 기준.</t>
  </si>
  <si>
    <t>공중 유닛 처치 수단</t>
  </si>
  <si>
    <t>캐릭터 기획서 Ver02 p9: 「플레이어 직접 조작으로만 처치 가능」 「보조기 한번에 파괴 가능할 수준의 낮은 체력」</t>
  </si>
  <si>
    <t>스킬</t>
  </si>
  <si>
    <t>구분</t>
  </si>
  <si>
    <t>공중 타격</t>
  </si>
  <si>
    <t>규칙</t>
  </si>
  <si>
    <t>몸통 박치기 · 파이어볼 · 파이어 브레스</t>
  </si>
  <si>
    <t>패시브 (자동)</t>
  </si>
  <si>
    <t>X</t>
  </si>
  <si>
    <t>자동 공격은 공중 유닛을 맞히지 않음</t>
  </si>
  <si>
    <t>낙뢰 · 충격파 · 회전 회오리</t>
  </si>
  <si>
    <t>메테오</t>
  </si>
  <si>
    <t>액티브 (보조기)</t>
  </si>
  <si>
    <t>O</t>
  </si>
  <si>
    <t>한 번에 처치</t>
  </si>
  <si>
    <t>허리케인</t>
  </si>
  <si>
    <t>지진</t>
  </si>
  <si>
    <t>?</t>
  </si>
  <si>
    <t>지면 공격이라 공중 유닛 타격 여부 확인 필요</t>
  </si>
  <si>
    <t>스테이지 스타터</t>
  </si>
  <si>
    <t>시작 연출</t>
  </si>
  <si>
    <t>시작 전 연출이라 공중 유닛이 아직 없음</t>
  </si>
  <si>
    <t>액티브 스킬은 세션당 사용 횟수(1~3회)가 정해져 있어, 공중 유닛 처치는 스킬 횟수를 쓰는 선택이 됨</t>
  </si>
  <si>
    <t>기타 규칙 (제안)</t>
  </si>
  <si>
    <t>· 공중 유닛은 클리어 조건(남은 건물 수)에 포함되지 않음 (전투 시스템 승리 조건 = 모든 건물 파괴)</t>
  </si>
  <si>
    <t>· 업그레이드 「탐욕」(골드 수급)은 적용, 「연쇄 파괴」 연속 카운트와 「감별안」(황금 확률)은 적용하지 않음</t>
  </si>
  <si>
    <t>· 보너스 스테이지에는 등장하지 않음 (황금 건물 잭팟에 집중)</t>
  </si>
  <si>
    <t>· 사이즈 100px (캐릭터 기획서 Ver02 p9)</t>
  </si>
  <si>
    <t>공중 유닛 목록 (14테마 × 2종 = 28종, 모두 공격형)</t>
  </si>
  <si>
    <t>유닛 이름·외형은 공중 유닛 리소스 시안(100×100px 재구성본) 기준. 1번 = 테마 두 스테이지 모두 등장, 2번 = 테마의 짝수(랜드마크) 스테이지 25초에 등장.</t>
  </si>
  <si>
    <t>키</t>
  </si>
  <si>
    <t>테마</t>
  </si>
  <si>
    <t>유닛</t>
  </si>
  <si>
    <t>콘셉트 · 공격</t>
  </si>
  <si>
    <t>등장 스테이지</t>
  </si>
  <si>
    <t>행동</t>
  </si>
  <si>
    <t>원시|공룡|1</t>
  </si>
  <si>
    <t>볏 익룡</t>
  </si>
  <si>
    <t>볏 달린 소형 익룡. 급강하하며 부리로 쪼기</t>
  </si>
  <si>
    <t>1-1, 1-2</t>
  </si>
  <si>
    <t>3초·10초(·25초)에 등장, 처치할 때까지 상공에서 공격</t>
  </si>
  <si>
    <t>원시|공룡|2</t>
  </si>
  <si>
    <t>깃털 활공룡</t>
  </si>
  <si>
    <t>화려한 깃털 공룡. 활공하며 깃털을 날림</t>
  </si>
  <si>
    <t>짝수 스테이지 25초에 등장, 처치할 때까지 공격</t>
  </si>
  <si>
    <t>원시|원시인|1</t>
  </si>
  <si>
    <t>박쥐 기수</t>
  </si>
  <si>
    <t>거대 박쥐를 탄 원시인. 돌 투척</t>
  </si>
  <si>
    <t>1-3, 1-4</t>
  </si>
  <si>
    <t>원시|원시인|2</t>
  </si>
  <si>
    <t>가죽 글라이더</t>
  </si>
  <si>
    <t>가죽 날개 글라이더를 탄 원시인. 창 투척</t>
  </si>
  <si>
    <t>고대|이집트|1</t>
  </si>
  <si>
    <t>호루스 매</t>
  </si>
  <si>
    <t>매 신 형상의 새. 태양 광선</t>
  </si>
  <si>
    <t>2-1, 2-2</t>
  </si>
  <si>
    <t>고대|이집트|2</t>
  </si>
  <si>
    <t>태양 스카라베</t>
  </si>
  <si>
    <t>황금 날개 풍뎅이. 태양 구슬 발사</t>
  </si>
  <si>
    <t>고대|그리스|1</t>
  </si>
  <si>
    <t>페가수스</t>
  </si>
  <si>
    <t>날개 달린 말. 돌진 공격</t>
  </si>
  <si>
    <t>2-3, 2-4</t>
  </si>
  <si>
    <t>고대|그리스|2</t>
  </si>
  <si>
    <t>청동 올빼미</t>
  </si>
  <si>
    <t>청동 갑주 올빼미. 깃털 칼날</t>
  </si>
  <si>
    <t>중세|프랑스|1</t>
  </si>
  <si>
    <t>왕실 그리핀</t>
  </si>
  <si>
    <t>왕실 문장을 단 그리핀. 발톱 급습</t>
  </si>
  <si>
    <t>3-1, 3-2</t>
  </si>
  <si>
    <t>중세|프랑스|2</t>
  </si>
  <si>
    <t>갑주 매</t>
  </si>
  <si>
    <t>갑옷 두른 사냥 매. 강하 공격</t>
  </si>
  <si>
    <t>중세|독일|1</t>
  </si>
  <si>
    <t>목조 날개비행기</t>
  </si>
  <si>
    <t>목조 날개 비행 장치. 석궁 사격</t>
  </si>
  <si>
    <t>3-3, 3-4</t>
  </si>
  <si>
    <t>중세|독일|2</t>
  </si>
  <si>
    <t>철갑 까마귀</t>
  </si>
  <si>
    <t>철갑을 두른 까마귀. 강철 깃털</t>
  </si>
  <si>
    <t>산업|영국|1</t>
  </si>
  <si>
    <t>증기 비행선</t>
  </si>
  <si>
    <t>줄무늬 증기 비행선. 대포 사격</t>
  </si>
  <si>
    <t>4-1, 4-2</t>
  </si>
  <si>
    <t>산업|영국|2</t>
  </si>
  <si>
    <t>황동 자이로콥터</t>
  </si>
  <si>
    <t>황동 자이로콥터. 기관총</t>
  </si>
  <si>
    <t>산업|미국|1</t>
  </si>
  <si>
    <t>복엽 정찰기</t>
  </si>
  <si>
    <t>붉은 복엽기 (컨셉 기획서 유닛 아이콘). 기관총</t>
  </si>
  <si>
    <t>4-3, 4-4</t>
  </si>
  <si>
    <t>산업|미국|2</t>
  </si>
  <si>
    <t>철갑 비행선</t>
  </si>
  <si>
    <t>철갑 비행선. 폭탄 투하</t>
  </si>
  <si>
    <t>현대|미국|1</t>
  </si>
  <si>
    <t>공격 헬기</t>
  </si>
  <si>
    <t>위장 도색 공격 헬기. 기관포</t>
  </si>
  <si>
    <t>5-1, 5-2</t>
  </si>
  <si>
    <t>현대|미국|2</t>
  </si>
  <si>
    <t>쌍발 전투기</t>
  </si>
  <si>
    <t>쌍발 제트 전투기. 미사일</t>
  </si>
  <si>
    <t>현대|한국|1</t>
  </si>
  <si>
    <t>틸트로터 무인기</t>
  </si>
  <si>
    <t>틸트로터 드론. 소형 미사일</t>
  </si>
  <si>
    <t>5-3, 5-4</t>
  </si>
  <si>
    <t>현대|한국|2</t>
  </si>
  <si>
    <t>스텔스 요격기</t>
  </si>
  <si>
    <t>스텔스 요격기. 유도탄</t>
  </si>
  <si>
    <t>미래|일본|1</t>
  </si>
  <si>
    <t>링 드론</t>
  </si>
  <si>
    <t>링 로터 드론. 레이저</t>
  </si>
  <si>
    <t>6-1, 6-2</t>
  </si>
  <si>
    <t>미래|일본|2</t>
  </si>
  <si>
    <t>호버 건쉽</t>
  </si>
  <si>
    <t>호버 건쉽. 연사 레이저</t>
  </si>
  <si>
    <t>미래|중국|1</t>
  </si>
  <si>
    <t>등롱 드론</t>
  </si>
  <si>
    <t>붉은 등롱 모양 드론. 불꽃탄</t>
  </si>
  <si>
    <t>6-3, 6-4</t>
  </si>
  <si>
    <t>미래|중국|2</t>
  </si>
  <si>
    <t>제비 요격정</t>
  </si>
  <si>
    <t>제비 모양 요격정. 플라즈마</t>
  </si>
  <si>
    <t>우주|달|1</t>
  </si>
  <si>
    <t>달 순찰정</t>
  </si>
  <si>
    <t>달 기지 순찰정. 레이저</t>
  </si>
  <si>
    <t>7-1, 7-2</t>
  </si>
  <si>
    <t>우주|달|2</t>
  </si>
  <si>
    <t>궤도 방어구</t>
  </si>
  <si>
    <t>태양광 패널 방어 위성. 빔 포</t>
  </si>
  <si>
    <t>우주|화성|1</t>
  </si>
  <si>
    <t>화성 정찰 드론</t>
  </si>
  <si>
    <t>화성 정찰 드론. 연사 빔</t>
  </si>
  <si>
    <t>7-3, 7-4</t>
  </si>
  <si>
    <t>우주|화성|2</t>
  </si>
  <si>
    <t>화성 강습 셔틀</t>
  </si>
  <si>
    <t>화성 강습 셔틀. 미사일 포격</t>
  </si>
  <si>
    <t>스테이지별 공중 유닛 배치 · 스탯 · 골드 (임시값)</t>
  </si>
  <si>
    <t>건물 수·체력은 「스테이지별 골드」, 허들 등급·1회 기대 골드는 「허들 설계」 시트를 참조. 공격 건물 공격력은 레벨 디자인 Ver04 p08 원본 값(파란 글씨).</t>
  </si>
  <si>
    <t>참조</t>
  </si>
  <si>
    <t>골드 비중</t>
  </si>
  <si>
    <t>1회 기대 골드</t>
  </si>
  <si>
    <t>드랍 (공중 유닛 드랍 시트)</t>
  </si>
  <si>
    <t>마리 수</t>
  </si>
  <si>
    <t>체력</t>
  </si>
  <si>
    <t>공격력</t>
  </si>
  <si>
    <t>공격 속도 (aps)</t>
  </si>
  <si>
    <t>골드 / 마리</t>
  </si>
  <si>
    <t>공격 건물 공격력 (원본)</t>
  </si>
  <si>
    <t>공중 골드 (최대 3마리 처치)</t>
  </si>
  <si>
    <t>기대 공중 골드</t>
  </si>
  <si>
    <t>건물 골드 (스테이지)</t>
  </si>
  <si>
    <t>공중 비중</t>
  </si>
  <si>
    <t>건물 기준 (허들 설계)</t>
  </si>
  <si>
    <t>공중 포함</t>
  </si>
  <si>
    <t>증가율</t>
  </si>
  <si>
    <t>1번 드랍 개수</t>
  </si>
  <si>
    <t>1번 주력 재화</t>
  </si>
  <si>
    <t>2번 드랍 개수</t>
  </si>
  <si>
    <t>2번 주력 재화</t>
  </si>
  <si>
    <t>공중 유닛 1마리당 드랍 구성 (임시값)</t>
  </si>
  <si>
    <t>드랍 구성 (개편) 시트와 같은 규칙: 목표 개수 → 평균 단가 양옆 인접 2등급 블렌드, 데뷔 일정 이전 등급은 쓰지 않음. 2번 유닛은 등장하지 않는 스테이지도 참고용으로 계산.</t>
  </si>
  <si>
    <t>유닛 구분</t>
  </si>
  <si>
    <t>피격 드랍 (체력 50%)</t>
  </si>
  <si>
    <t>처치 드랍</t>
  </si>
  <si>
    <t>공중 유닛 재화 배치 설계 (Ver06: 캐릭터 기획서 Ver02 반영)</t>
  </si>
  <si>
    <t>기준: 캐릭터 기획서 Ver02 p9 (공중 유닛), 레벨 디자인 Ver04 (스테이지·건물), 재화배치 Ver03 (건물 골드·재화 데뷔·드랍 규칙). 기존 시트는 수정하지 않음.</t>
  </si>
  <si>
    <t>캐릭터 기획서 Ver02 p9 공중 유닛 정의</t>
  </si>
  <si>
    <t>· 일종의 클리어 방해 요소 / 장시간 클리어하지 못할 경우 압박</t>
  </si>
  <si>
    <t>· 플레이어 직접 조작으로만 처치 가능하기에 적은 공격력 / 보조기 한 번에 파괴 가능할 수준의 낮은 체력</t>
  </si>
  <si>
    <t>· 일반 건물과 공격 건물 사이 수준의 보상 / 일정 시간마다 1개씩 등장 (3초 / 10초 / 25초) / 각 테마별 2종 / 100px</t>
  </si>
  <si>
    <t>Ver05 대비 변경</t>
  </si>
  <si>
    <t>1. 골드: 체력 기반(체력 × 0.1 × 2.0) → 같은 스테이지 일반 건물 골드와 공격 건물 골드 사이 값. 1번은 1/3 지점, 2번은 2/3 지점</t>
  </si>
  <si>
    <t>2. 마리 수: 허들 등급별 1~6마리 → 등장 시점 3초·10초·25초 슬롯, 스테이지당 최대 3마리 (홀수 스테이지 1번×3, 짝수 스테이지 1번×2 + 2번×1)</t>
  </si>
  <si>
    <t>3. 처치 수단: 패시브 자동 공격 제외, 액티브 스킬(보조기)로만 처치. 한 번에 파괴되므로 피격 드랍 없이 처치 시 전부 드랍</t>
  </si>
  <si>
    <t>4. 이탈 규칙 삭제: 처치할 때까지 남아서 압박</t>
  </si>
  <si>
    <t>5. 체력·공격력 계산식은 Ver05 그대로 (공중 유닛 스탯 표 변경 없음)</t>
  </si>
  <si>
    <t>확인이 필요한 사항</t>
  </si>
  <si>
    <t>· 「보조기 한 번에 파괴 가능한 체력」인지는 드래곤 공격력 기본값이 정해져야 검증 가능 (메테오 1개 = 공격력 250~320%)</t>
  </si>
  <si>
    <t>· 지진(지면 공격)이 공중 유닛을 맞히는지</t>
  </si>
  <si>
    <t>· 3초/10초/25초가 「등장 시점」인지 「등장 간격」인지. 이 시트는 등장 시점(스테이지당 최대 3마리)으로 해석함</t>
  </si>
  <si>
    <t>· 레벨 디자인 슬라이드 「6 공중 유닛 구성」 비고의 「8초/10초 후 이탈」 문구가 새 규칙(처치 전까지 유지)과 다름</t>
  </si>
  <si>
    <t>· 액티브 스킬 횟수가 세션당 1~3회라 공중 유닛 3마리를 모두 잡기 어려운 구간이 있음 → 기대 처치 비율 60% 가정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</si>
</sst>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;\-#,##0;\-"/>
    <numFmt numFmtId="177" formatCode="0.0%"/>
    <numFmt numFmtId="178" formatCode="0.0&quot;배&quot;"/>
    <numFmt numFmtId="179" formatCode="0.0%;\-0.0%;\-"/>
    <numFmt numFmtId="180" formatCode="\+0.00%;\-0.00%;0.00%"/>
    <numFmt numFmtId="181" formatCode="0.0"/>
    <numFmt numFmtId="182" formatCode="\+0.0%;\-0.0%;0.0%"/>
    <numFmt numFmtId="183" formatCode="\+0;\-0;0"/>
  </numFmts>
  <fonts count="28" x14ac:knownFonts="1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sz val="10"/>
      <color rgb="FF6B5A4E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8000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sz val="10"/>
      <color rgb="FF6B5A4E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008000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6B5A4E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10"/>
      <color rgb="FF008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D1B18F"/>
      </patternFill>
    </fill>
    <fill>
      <patternFill patternType="solid">
        <fgColor rgb="FFFFFF00"/>
      </patternFill>
    </fill>
    <fill>
      <patternFill patternType="solid">
        <fgColor rgb="FFEADBC6"/>
      </patternFill>
    </fill>
    <fill>
      <patternFill patternType="solid">
        <fgColor rgb="FFFAF6EF"/>
      </patternFill>
    </fill>
    <fill>
      <patternFill patternType="solid">
        <fgColor rgb="FFD1B18F"/>
      </patternFill>
    </fill>
    <fill>
      <patternFill patternType="solid">
        <fgColor rgb="FFFFFF00"/>
      </patternFill>
    </fill>
    <fill>
      <patternFill patternType="solid">
        <fgColor rgb="FFFAF6EF"/>
      </patternFill>
    </fill>
    <fill>
      <patternFill patternType="solid">
        <fgColor rgb="FFEADBC6"/>
      </patternFill>
    </fill>
  </fills>
  <borders count="9">
    <border>
      <left/>
      <right/>
      <top/>
      <bottom/>
      <diagonal/>
    </border>
    <border>
      <left style="thin">
        <color rgb="FFC8B9A6"/>
      </left>
      <right style="thin">
        <color rgb="FFC8B9A6"/>
      </right>
      <top style="thin">
        <color rgb="FFC8B9A6"/>
      </top>
      <bottom style="thin">
        <color rgb="FFC8B9A6"/>
      </bottom>
      <diagonal/>
    </border>
    <border>
      <left/>
      <right/>
      <top style="thin">
        <color rgb="FFC8B9A6"/>
      </top>
      <bottom style="thin">
        <color rgb="FFC8B9A6"/>
      </bottom>
      <diagonal/>
    </border>
    <border>
      <left/>
      <right style="thin">
        <color rgb="FFC8B9A6"/>
      </right>
      <top style="thin">
        <color rgb="FFC8B9A6"/>
      </top>
      <bottom style="thin">
        <color rgb="FFC8B9A6"/>
      </bottom>
      <diagonal/>
    </border>
    <border>
      <left style="thin">
        <color rgb="FFBFA88A"/>
      </left>
      <right style="thin">
        <color rgb="FFBFA88A"/>
      </right>
      <top style="thin">
        <color rgb="FFBFA88A"/>
      </top>
      <bottom style="thin">
        <color rgb="FFBFA88A"/>
      </bottom>
      <diagonal/>
    </border>
    <border>
      <left style="thin">
        <color rgb="FFBFA88A"/>
      </left>
      <right style="thin">
        <color rgb="FFBFA88A"/>
      </right>
      <top style="medium">
        <color rgb="FF8C6A4A"/>
      </top>
      <bottom style="thin">
        <color rgb="FFBFA88A"/>
      </bottom>
      <diagonal/>
    </border>
    <border>
      <left/>
      <right/>
      <top style="thin">
        <color rgb="FFBFA88A"/>
      </top>
      <bottom style="thin">
        <color rgb="FFBFA88A"/>
      </bottom>
      <diagonal/>
    </border>
    <border>
      <left/>
      <right style="thin">
        <color rgb="FFBFA88A"/>
      </right>
      <top style="thin">
        <color rgb="FFBFA88A"/>
      </top>
      <bottom style="thin">
        <color rgb="FFBFA88A"/>
      </bottom>
      <diagonal/>
    </border>
    <border>
      <left style="thin">
        <color rgb="FFC8B9A6"/>
      </left>
      <right style="thin">
        <color rgb="FFC8B9A6"/>
      </right>
      <top style="thin">
        <color rgb="FFC8B9A6"/>
      </top>
      <bottom style="thin">
        <color rgb="FFC8B9A6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1" xfId="0" applyFont="1" applyBorder="1"/>
    <xf numFmtId="176" fontId="8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76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76" fontId="4" fillId="0" borderId="1" xfId="0" applyNumberFormat="1" applyFont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176" fontId="8" fillId="5" borderId="1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176" fontId="0" fillId="5" borderId="1" xfId="0" applyNumberForma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76" fontId="16" fillId="0" borderId="4" xfId="0" applyNumberFormat="1" applyFont="1" applyBorder="1" applyAlignment="1">
      <alignment horizontal="center" vertical="center"/>
    </xf>
    <xf numFmtId="1" fontId="16" fillId="0" borderId="4" xfId="0" applyNumberFormat="1" applyFont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center"/>
    </xf>
    <xf numFmtId="178" fontId="16" fillId="0" borderId="4" xfId="0" applyNumberFormat="1" applyFont="1" applyBorder="1" applyAlignment="1">
      <alignment horizontal="center" vertical="center"/>
    </xf>
    <xf numFmtId="179" fontId="16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180" fontId="17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76" fontId="13" fillId="3" borderId="4" xfId="0" applyNumberFormat="1" applyFont="1" applyFill="1" applyBorder="1" applyAlignment="1">
      <alignment horizontal="center" vertical="center"/>
    </xf>
    <xf numFmtId="177" fontId="13" fillId="3" borderId="4" xfId="0" applyNumberFormat="1" applyFont="1" applyFill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81" fontId="13" fillId="3" borderId="4" xfId="0" applyNumberFormat="1" applyFont="1" applyFill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9" fontId="13" fillId="3" borderId="4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81" fontId="14" fillId="0" borderId="4" xfId="0" applyNumberFormat="1" applyFont="1" applyBorder="1" applyAlignment="1">
      <alignment horizontal="center" vertical="center"/>
    </xf>
    <xf numFmtId="176" fontId="14" fillId="0" borderId="4" xfId="0" applyNumberFormat="1" applyFont="1" applyBorder="1" applyAlignment="1">
      <alignment horizontal="center" vertical="center"/>
    </xf>
    <xf numFmtId="182" fontId="14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181" fontId="12" fillId="4" borderId="4" xfId="0" applyNumberFormat="1" applyFont="1" applyFill="1" applyBorder="1" applyAlignment="1">
      <alignment horizontal="center" vertical="center"/>
    </xf>
    <xf numFmtId="176" fontId="12" fillId="4" borderId="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" fontId="14" fillId="0" borderId="5" xfId="0" applyNumberFormat="1" applyFon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76" fontId="14" fillId="0" borderId="5" xfId="0" applyNumberFormat="1" applyFont="1" applyBorder="1" applyAlignment="1">
      <alignment horizontal="center" vertical="center"/>
    </xf>
    <xf numFmtId="181" fontId="14" fillId="0" borderId="5" xfId="0" applyNumberFormat="1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9" fontId="14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83" fontId="14" fillId="0" borderId="5" xfId="0" applyNumberFormat="1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center" vertical="center"/>
    </xf>
    <xf numFmtId="179" fontId="14" fillId="0" borderId="4" xfId="0" applyNumberFormat="1" applyFont="1" applyBorder="1" applyAlignment="1">
      <alignment horizontal="center" vertical="center"/>
    </xf>
    <xf numFmtId="183" fontId="14" fillId="0" borderId="4" xfId="0" applyNumberFormat="1" applyFont="1" applyBorder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2" fillId="6" borderId="8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left" vertical="center" wrapText="1"/>
    </xf>
    <xf numFmtId="2" fontId="24" fillId="7" borderId="8" xfId="0" applyNumberFormat="1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left" vertical="center" wrapText="1"/>
    </xf>
    <xf numFmtId="181" fontId="24" fillId="0" borderId="8" xfId="0" applyNumberFormat="1" applyFont="1" applyBorder="1" applyAlignment="1">
      <alignment horizontal="center" vertical="center" wrapText="1"/>
    </xf>
    <xf numFmtId="49" fontId="24" fillId="0" borderId="8" xfId="0" applyNumberFormat="1" applyFont="1" applyBorder="1" applyAlignment="1">
      <alignment horizontal="center" vertical="center" wrapText="1"/>
    </xf>
    <xf numFmtId="9" fontId="24" fillId="7" borderId="8" xfId="0" applyNumberFormat="1" applyFont="1" applyFill="1" applyBorder="1" applyAlignment="1">
      <alignment horizontal="center" vertical="center" wrapText="1"/>
    </xf>
    <xf numFmtId="9" fontId="24" fillId="0" borderId="8" xfId="0" applyNumberFormat="1" applyFont="1" applyBorder="1" applyAlignment="1">
      <alignment horizontal="center" vertical="center" wrapText="1"/>
    </xf>
    <xf numFmtId="1" fontId="24" fillId="0" borderId="8" xfId="0" applyNumberFormat="1" applyFont="1" applyBorder="1" applyAlignment="1">
      <alignment horizontal="center" vertical="center" wrapText="1"/>
    </xf>
    <xf numFmtId="177" fontId="24" fillId="0" borderId="8" xfId="0" applyNumberFormat="1" applyFont="1" applyBorder="1" applyAlignment="1">
      <alignment horizontal="center" vertical="center" wrapText="1"/>
    </xf>
    <xf numFmtId="0" fontId="25" fillId="0" borderId="0" xfId="0" applyFont="1"/>
    <xf numFmtId="0" fontId="22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3" fillId="0" borderId="0" xfId="0" applyFont="1"/>
    <xf numFmtId="0" fontId="21" fillId="0" borderId="8" xfId="0" applyFont="1" applyBorder="1" applyAlignment="1">
      <alignment horizontal="center" vertical="center" wrapText="1"/>
    </xf>
    <xf numFmtId="0" fontId="21" fillId="8" borderId="8" xfId="0" applyFont="1" applyFill="1" applyBorder="1" applyAlignment="1">
      <alignment horizontal="center" vertical="center" wrapText="1"/>
    </xf>
    <xf numFmtId="0" fontId="23" fillId="8" borderId="8" xfId="0" applyFont="1" applyFill="1" applyBorder="1" applyAlignment="1">
      <alignment horizontal="center" vertical="center" wrapText="1"/>
    </xf>
    <xf numFmtId="0" fontId="26" fillId="8" borderId="8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horizontal="left" vertical="center" wrapText="1"/>
    </xf>
    <xf numFmtId="0" fontId="23" fillId="8" borderId="8" xfId="0" applyFont="1" applyFill="1" applyBorder="1" applyAlignment="1">
      <alignment horizontal="left" vertical="center" wrapText="1"/>
    </xf>
    <xf numFmtId="0" fontId="22" fillId="9" borderId="0" xfId="0" applyFont="1" applyFill="1" applyAlignment="1">
      <alignment horizontal="center" vertical="center" wrapText="1"/>
    </xf>
    <xf numFmtId="176" fontId="27" fillId="0" borderId="8" xfId="0" applyNumberFormat="1" applyFont="1" applyBorder="1" applyAlignment="1">
      <alignment horizontal="center" vertical="center" wrapText="1"/>
    </xf>
    <xf numFmtId="176" fontId="23" fillId="0" borderId="8" xfId="0" applyNumberFormat="1" applyFont="1" applyBorder="1" applyAlignment="1">
      <alignment horizontal="center" vertical="center" wrapText="1"/>
    </xf>
    <xf numFmtId="181" fontId="23" fillId="0" borderId="8" xfId="0" applyNumberFormat="1" applyFont="1" applyBorder="1" applyAlignment="1">
      <alignment horizontal="center" vertical="center" wrapText="1"/>
    </xf>
    <xf numFmtId="176" fontId="24" fillId="0" borderId="8" xfId="0" applyNumberFormat="1" applyFont="1" applyBorder="1" applyAlignment="1">
      <alignment horizontal="center" vertical="center" wrapText="1"/>
    </xf>
    <xf numFmtId="176" fontId="22" fillId="0" borderId="8" xfId="0" applyNumberFormat="1" applyFont="1" applyBorder="1" applyAlignment="1">
      <alignment horizontal="center" vertical="center" wrapText="1"/>
    </xf>
    <xf numFmtId="9" fontId="23" fillId="0" borderId="8" xfId="0" applyNumberFormat="1" applyFont="1" applyBorder="1" applyAlignment="1">
      <alignment horizontal="center" vertical="center" wrapText="1"/>
    </xf>
    <xf numFmtId="176" fontId="27" fillId="8" borderId="8" xfId="0" applyNumberFormat="1" applyFont="1" applyFill="1" applyBorder="1" applyAlignment="1">
      <alignment horizontal="center" vertical="center" wrapText="1"/>
    </xf>
    <xf numFmtId="176" fontId="23" fillId="8" borderId="8" xfId="0" applyNumberFormat="1" applyFont="1" applyFill="1" applyBorder="1" applyAlignment="1">
      <alignment horizontal="center" vertical="center" wrapText="1"/>
    </xf>
    <xf numFmtId="181" fontId="23" fillId="8" borderId="8" xfId="0" applyNumberFormat="1" applyFont="1" applyFill="1" applyBorder="1" applyAlignment="1">
      <alignment horizontal="center" vertical="center" wrapText="1"/>
    </xf>
    <xf numFmtId="176" fontId="24" fillId="8" borderId="8" xfId="0" applyNumberFormat="1" applyFont="1" applyFill="1" applyBorder="1" applyAlignment="1">
      <alignment horizontal="center" vertical="center" wrapText="1"/>
    </xf>
    <xf numFmtId="176" fontId="22" fillId="8" borderId="8" xfId="0" applyNumberFormat="1" applyFont="1" applyFill="1" applyBorder="1" applyAlignment="1">
      <alignment horizontal="center" vertical="center" wrapText="1"/>
    </xf>
    <xf numFmtId="9" fontId="23" fillId="8" borderId="8" xfId="0" applyNumberFormat="1" applyFont="1" applyFill="1" applyBorder="1" applyAlignment="1">
      <alignment horizontal="center" vertical="center" wrapText="1"/>
    </xf>
    <xf numFmtId="176" fontId="22" fillId="9" borderId="8" xfId="0" applyNumberFormat="1" applyFont="1" applyFill="1" applyBorder="1" applyAlignment="1">
      <alignment horizontal="center" vertical="center" wrapText="1"/>
    </xf>
    <xf numFmtId="9" fontId="22" fillId="9" borderId="8" xfId="0" applyNumberFormat="1" applyFont="1" applyFill="1" applyBorder="1" applyAlignment="1">
      <alignment horizontal="center" vertical="center" wrapText="1"/>
    </xf>
    <xf numFmtId="176" fontId="27" fillId="0" borderId="0" xfId="0" applyNumberFormat="1" applyFont="1" applyAlignment="1">
      <alignment horizontal="center" vertical="center" wrapText="1"/>
    </xf>
    <xf numFmtId="177" fontId="23" fillId="0" borderId="8" xfId="0" applyNumberFormat="1" applyFont="1" applyBorder="1" applyAlignment="1">
      <alignment horizontal="center" vertical="center" wrapText="1"/>
    </xf>
    <xf numFmtId="177" fontId="23" fillId="8" borderId="8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6" fillId="0" borderId="0" xfId="0" applyFont="1"/>
    <xf numFmtId="0" fontId="0" fillId="0" borderId="0" xfId="0"/>
    <xf numFmtId="0" fontId="14" fillId="0" borderId="4" xfId="0" applyFont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2" fillId="0" borderId="0" xfId="0" applyFont="1"/>
    <xf numFmtId="176" fontId="3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4" borderId="0" xfId="0" applyFont="1" applyFill="1" applyAlignment="1">
      <alignment horizontal="center" vertical="center" wrapText="1"/>
    </xf>
    <xf numFmtId="0" fontId="22" fillId="9" borderId="8" xfId="0" applyFont="1" applyFill="1" applyBorder="1" applyAlignment="1">
      <alignment horizontal="center" vertical="center" wrapText="1"/>
    </xf>
    <xf numFmtId="176" fontId="22" fillId="9" borderId="8" xfId="0" applyNumberFormat="1" applyFont="1" applyFill="1" applyBorder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</cellXfs>
  <cellStyles count="1">
    <cellStyle name="표준" xfId="0" builtinId="0"/>
  </cellStyles>
  <dxfs count="7">
    <dxf>
      <fill>
        <patternFill patternType="solid">
          <fgColor rgb="FFF4B6B6"/>
        </patternFill>
      </fill>
    </dxf>
    <dxf>
      <fill>
        <patternFill patternType="solid">
          <fgColor rgb="FFFFD8A8"/>
        </patternFill>
      </fill>
    </dxf>
    <dxf>
      <fill>
        <patternFill patternType="solid">
          <fgColor rgb="FFFBEBD3"/>
        </patternFill>
      </fill>
    </dxf>
    <dxf>
      <fill>
        <patternFill patternType="solid">
          <fgColor rgb="FFE3F0DA"/>
        </patternFill>
      </fill>
    </dxf>
    <dxf>
      <fill>
        <patternFill patternType="solid">
          <fgColor rgb="FFFBEBD3"/>
        </patternFill>
      </fill>
    </dxf>
    <dxf>
      <fill>
        <patternFill patternType="solid">
          <fgColor rgb="FFF6D5C8"/>
        </patternFill>
      </fill>
    </dxf>
    <dxf>
      <fill>
        <patternFill patternType="solid">
          <fgColor rgb="FFF6D5C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시대별 골드 </a:t>
            </a:r>
            <a:r>
              <a:rPr lang="en-US" altLang="ko-KR"/>
              <a:t>(</a:t>
            </a:r>
            <a:r>
              <a:rPr lang="ko-KR" altLang="en-US"/>
              <a:t>스테이지 </a:t>
            </a:r>
            <a:r>
              <a:rPr lang="en-US" altLang="ko-KR"/>
              <a:t>+ </a:t>
            </a:r>
            <a:r>
              <a:rPr lang="ko-KR" altLang="en-US"/>
              <a:t>보너스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요약!$B$4</c:f>
              <c:strCache>
                <c:ptCount val="1"/>
                <c:pt idx="0">
                  <c:v>스테이지 골드</c:v>
                </c:pt>
              </c:strCache>
            </c:strRef>
          </c:tx>
          <c:spPr>
            <a:solidFill>
              <a:srgbClr val="93724F"/>
            </a:solidFill>
            <a:ln>
              <a:prstDash val="solid"/>
            </a:ln>
          </c:spPr>
          <c:invertIfNegative val="1"/>
          <c:cat>
            <c:strRef>
              <c:f>요약!$A$5:$A$11</c:f>
              <c:strCache>
                <c:ptCount val="7"/>
                <c:pt idx="0">
                  <c:v>원시</c:v>
                </c:pt>
                <c:pt idx="1">
                  <c:v>고대</c:v>
                </c:pt>
                <c:pt idx="2">
                  <c:v>중세</c:v>
                </c:pt>
                <c:pt idx="3">
                  <c:v>산업</c:v>
                </c:pt>
                <c:pt idx="4">
                  <c:v>현대</c:v>
                </c:pt>
                <c:pt idx="5">
                  <c:v>미래</c:v>
                </c:pt>
                <c:pt idx="6">
                  <c:v>우주</c:v>
                </c:pt>
              </c:strCache>
            </c:strRef>
          </c:cat>
          <c:val>
            <c:numRef>
              <c:f>요약!$B$5:$B$11</c:f>
              <c:numCache>
                <c:formatCode>#,##0;\-#,##0;\-</c:formatCode>
                <c:ptCount val="7"/>
                <c:pt idx="0">
                  <c:v>1044</c:v>
                </c:pt>
                <c:pt idx="1">
                  <c:v>3339</c:v>
                </c:pt>
                <c:pt idx="2">
                  <c:v>9740</c:v>
                </c:pt>
                <c:pt idx="3">
                  <c:v>26761</c:v>
                </c:pt>
                <c:pt idx="4">
                  <c:v>71560</c:v>
                </c:pt>
                <c:pt idx="5">
                  <c:v>187496</c:v>
                </c:pt>
                <c:pt idx="6">
                  <c:v>478741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F2-4271-957F-57BAD0838C01}"/>
            </c:ext>
          </c:extLst>
        </c:ser>
        <c:ser>
          <c:idx val="1"/>
          <c:order val="1"/>
          <c:tx>
            <c:strRef>
              <c:f>요약!$C$4</c:f>
              <c:strCache>
                <c:ptCount val="1"/>
                <c:pt idx="0">
                  <c:v>보너스 골드</c:v>
                </c:pt>
              </c:strCache>
            </c:strRef>
          </c:tx>
          <c:spPr>
            <a:solidFill>
              <a:srgbClr val="FFCF5F"/>
            </a:solidFill>
            <a:ln>
              <a:prstDash val="solid"/>
            </a:ln>
          </c:spPr>
          <c:invertIfNegative val="1"/>
          <c:cat>
            <c:strRef>
              <c:f>요약!$A$5:$A$11</c:f>
              <c:strCache>
                <c:ptCount val="7"/>
                <c:pt idx="0">
                  <c:v>원시</c:v>
                </c:pt>
                <c:pt idx="1">
                  <c:v>고대</c:v>
                </c:pt>
                <c:pt idx="2">
                  <c:v>중세</c:v>
                </c:pt>
                <c:pt idx="3">
                  <c:v>산업</c:v>
                </c:pt>
                <c:pt idx="4">
                  <c:v>현대</c:v>
                </c:pt>
                <c:pt idx="5">
                  <c:v>미래</c:v>
                </c:pt>
                <c:pt idx="6">
                  <c:v>우주</c:v>
                </c:pt>
              </c:strCache>
            </c:strRef>
          </c:cat>
          <c:val>
            <c:numRef>
              <c:f>요약!$C$5:$C$11</c:f>
              <c:numCache>
                <c:formatCode>#,##0;\-#,##0;\-</c:formatCode>
                <c:ptCount val="7"/>
                <c:pt idx="0">
                  <c:v>2704</c:v>
                </c:pt>
                <c:pt idx="1">
                  <c:v>7448</c:v>
                </c:pt>
                <c:pt idx="2">
                  <c:v>19654</c:v>
                </c:pt>
                <c:pt idx="3">
                  <c:v>50431</c:v>
                </c:pt>
                <c:pt idx="4">
                  <c:v>128070</c:v>
                </c:pt>
                <c:pt idx="5">
                  <c:v>322605</c:v>
                </c:pt>
                <c:pt idx="6">
                  <c:v>798300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7F2-4271-957F-57BAD0838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골드</a:t>
                </a:r>
              </a:p>
            </c:rich>
          </c:tx>
          <c:overlay val="1"/>
        </c:title>
        <c:numFmt formatCode="#,##0;\-#,##0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건물 </a:t>
            </a:r>
            <a:r>
              <a:rPr lang="en-US" altLang="ko-KR"/>
              <a:t>1</a:t>
            </a:r>
            <a:r>
              <a:rPr lang="ko-KR" altLang="en-US"/>
              <a:t>개 드랍 개수 </a:t>
            </a:r>
            <a:r>
              <a:rPr lang="en-US" altLang="ko-KR"/>
              <a:t>(</a:t>
            </a:r>
            <a:r>
              <a:rPr lang="en-US"/>
              <a:t>Ver03 vs Ver02 </a:t>
            </a:r>
            <a:r>
              <a:rPr lang="ko-KR" altLang="en-US"/>
              <a:t>일반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'개편 요약'!$C$20</c:f>
              <c:strCache>
                <c:ptCount val="1"/>
                <c:pt idx="0">
                  <c:v>일반 개수</c:v>
                </c:pt>
              </c:strCache>
            </c:strRef>
          </c:tx>
          <c:spPr>
            <a:ln w="22000">
              <a:solidFill>
                <a:srgbClr val="8C6A4A"/>
              </a:solidFill>
              <a:prstDash val="solid"/>
            </a:ln>
          </c:spPr>
          <c:marker>
            <c:symbol val="none"/>
          </c:marker>
          <c:cat>
            <c:strRef>
              <c:f>'개편 요약'!$A$21:$A$48</c:f>
              <c:strCache>
                <c:ptCount val="28"/>
                <c:pt idx="0">
                  <c:v>1-1</c:v>
                </c:pt>
                <c:pt idx="1">
                  <c:v>1-2</c:v>
                </c:pt>
                <c:pt idx="2">
                  <c:v>1-3</c:v>
                </c:pt>
                <c:pt idx="3">
                  <c:v>1-4</c:v>
                </c:pt>
                <c:pt idx="4">
                  <c:v>2-1</c:v>
                </c:pt>
                <c:pt idx="5">
                  <c:v>2-2</c:v>
                </c:pt>
                <c:pt idx="6">
                  <c:v>2-3</c:v>
                </c:pt>
                <c:pt idx="7">
                  <c:v>2-4</c:v>
                </c:pt>
                <c:pt idx="8">
                  <c:v>3-1</c:v>
                </c:pt>
                <c:pt idx="9">
                  <c:v>3-2</c:v>
                </c:pt>
                <c:pt idx="10">
                  <c:v>3-3</c:v>
                </c:pt>
                <c:pt idx="11">
                  <c:v>3-4</c:v>
                </c:pt>
                <c:pt idx="12">
                  <c:v>4-1</c:v>
                </c:pt>
                <c:pt idx="13">
                  <c:v>4-2</c:v>
                </c:pt>
                <c:pt idx="14">
                  <c:v>4-3</c:v>
                </c:pt>
                <c:pt idx="15">
                  <c:v>4-4</c:v>
                </c:pt>
                <c:pt idx="16">
                  <c:v>5-1</c:v>
                </c:pt>
                <c:pt idx="17">
                  <c:v>5-2</c:v>
                </c:pt>
                <c:pt idx="18">
                  <c:v>5-3</c:v>
                </c:pt>
                <c:pt idx="19">
                  <c:v>5-4</c:v>
                </c:pt>
                <c:pt idx="20">
                  <c:v>6-1</c:v>
                </c:pt>
                <c:pt idx="21">
                  <c:v>6-2</c:v>
                </c:pt>
                <c:pt idx="22">
                  <c:v>6-3</c:v>
                </c:pt>
                <c:pt idx="23">
                  <c:v>6-4</c:v>
                </c:pt>
                <c:pt idx="24">
                  <c:v>7-1</c:v>
                </c:pt>
                <c:pt idx="25">
                  <c:v>7-2</c:v>
                </c:pt>
                <c:pt idx="26">
                  <c:v>7-3</c:v>
                </c:pt>
                <c:pt idx="27">
                  <c:v>7-4</c:v>
                </c:pt>
              </c:strCache>
            </c:strRef>
          </c:cat>
          <c:val>
            <c:numRef>
              <c:f>'개편 요약'!$C$21:$C$48</c:f>
              <c:numCache>
                <c:formatCode>#,##0;\-#,##0;\-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18</c:v>
                </c:pt>
                <c:pt idx="17">
                  <c:v>18</c:v>
                </c:pt>
                <c:pt idx="18">
                  <c:v>19</c:v>
                </c:pt>
                <c:pt idx="19">
                  <c:v>19</c:v>
                </c:pt>
                <c:pt idx="20">
                  <c:v>21</c:v>
                </c:pt>
                <c:pt idx="21">
                  <c:v>21</c:v>
                </c:pt>
                <c:pt idx="22">
                  <c:v>22</c:v>
                </c:pt>
                <c:pt idx="23">
                  <c:v>22</c:v>
                </c:pt>
                <c:pt idx="24">
                  <c:v>24</c:v>
                </c:pt>
                <c:pt idx="25">
                  <c:v>25</c:v>
                </c:pt>
                <c:pt idx="26">
                  <c:v>25</c:v>
                </c:pt>
                <c:pt idx="27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6D-4C4A-980C-85D8BD1A4855}"/>
            </c:ext>
          </c:extLst>
        </c:ser>
        <c:ser>
          <c:idx val="1"/>
          <c:order val="1"/>
          <c:tx>
            <c:strRef>
              <c:f>'개편 요약'!$D$20</c:f>
              <c:strCache>
                <c:ptCount val="1"/>
                <c:pt idx="0">
                  <c:v>공격 개수</c:v>
                </c:pt>
              </c:strCache>
            </c:strRef>
          </c:tx>
          <c:spPr>
            <a:ln w="22000"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strRef>
              <c:f>'개편 요약'!$A$21:$A$48</c:f>
              <c:strCache>
                <c:ptCount val="28"/>
                <c:pt idx="0">
                  <c:v>1-1</c:v>
                </c:pt>
                <c:pt idx="1">
                  <c:v>1-2</c:v>
                </c:pt>
                <c:pt idx="2">
                  <c:v>1-3</c:v>
                </c:pt>
                <c:pt idx="3">
                  <c:v>1-4</c:v>
                </c:pt>
                <c:pt idx="4">
                  <c:v>2-1</c:v>
                </c:pt>
                <c:pt idx="5">
                  <c:v>2-2</c:v>
                </c:pt>
                <c:pt idx="6">
                  <c:v>2-3</c:v>
                </c:pt>
                <c:pt idx="7">
                  <c:v>2-4</c:v>
                </c:pt>
                <c:pt idx="8">
                  <c:v>3-1</c:v>
                </c:pt>
                <c:pt idx="9">
                  <c:v>3-2</c:v>
                </c:pt>
                <c:pt idx="10">
                  <c:v>3-3</c:v>
                </c:pt>
                <c:pt idx="11">
                  <c:v>3-4</c:v>
                </c:pt>
                <c:pt idx="12">
                  <c:v>4-1</c:v>
                </c:pt>
                <c:pt idx="13">
                  <c:v>4-2</c:v>
                </c:pt>
                <c:pt idx="14">
                  <c:v>4-3</c:v>
                </c:pt>
                <c:pt idx="15">
                  <c:v>4-4</c:v>
                </c:pt>
                <c:pt idx="16">
                  <c:v>5-1</c:v>
                </c:pt>
                <c:pt idx="17">
                  <c:v>5-2</c:v>
                </c:pt>
                <c:pt idx="18">
                  <c:v>5-3</c:v>
                </c:pt>
                <c:pt idx="19">
                  <c:v>5-4</c:v>
                </c:pt>
                <c:pt idx="20">
                  <c:v>6-1</c:v>
                </c:pt>
                <c:pt idx="21">
                  <c:v>6-2</c:v>
                </c:pt>
                <c:pt idx="22">
                  <c:v>6-3</c:v>
                </c:pt>
                <c:pt idx="23">
                  <c:v>6-4</c:v>
                </c:pt>
                <c:pt idx="24">
                  <c:v>7-1</c:v>
                </c:pt>
                <c:pt idx="25">
                  <c:v>7-2</c:v>
                </c:pt>
                <c:pt idx="26">
                  <c:v>7-3</c:v>
                </c:pt>
                <c:pt idx="27">
                  <c:v>7-4</c:v>
                </c:pt>
              </c:strCache>
            </c:strRef>
          </c:cat>
          <c:val>
            <c:numRef>
              <c:f>'개편 요약'!$D$21:$D$48</c:f>
              <c:numCache>
                <c:formatCode>#,##0;\-#,##0;\-</c:formatCode>
                <c:ptCount val="2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16</c:v>
                </c:pt>
                <c:pt idx="10">
                  <c:v>17</c:v>
                </c:pt>
                <c:pt idx="11">
                  <c:v>17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23</c:v>
                </c:pt>
                <c:pt idx="20">
                  <c:v>25</c:v>
                </c:pt>
                <c:pt idx="21">
                  <c:v>26</c:v>
                </c:pt>
                <c:pt idx="22">
                  <c:v>26</c:v>
                </c:pt>
                <c:pt idx="23">
                  <c:v>27</c:v>
                </c:pt>
                <c:pt idx="24">
                  <c:v>29</c:v>
                </c:pt>
                <c:pt idx="25">
                  <c:v>30</c:v>
                </c:pt>
                <c:pt idx="26">
                  <c:v>30</c:v>
                </c:pt>
                <c:pt idx="27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6D-4C4A-980C-85D8BD1A4855}"/>
            </c:ext>
          </c:extLst>
        </c:ser>
        <c:ser>
          <c:idx val="2"/>
          <c:order val="2"/>
          <c:tx>
            <c:strRef>
              <c:f>'개편 요약'!$F$20</c:f>
              <c:strCache>
                <c:ptCount val="1"/>
                <c:pt idx="0">
                  <c:v>황금 개수</c:v>
                </c:pt>
              </c:strCache>
            </c:strRef>
          </c:tx>
          <c:spPr>
            <a:ln w="22000">
              <a:solidFill>
                <a:srgbClr val="E3A33B"/>
              </a:solidFill>
              <a:prstDash val="solid"/>
            </a:ln>
          </c:spPr>
          <c:marker>
            <c:symbol val="none"/>
          </c:marker>
          <c:cat>
            <c:strRef>
              <c:f>'개편 요약'!$A$21:$A$48</c:f>
              <c:strCache>
                <c:ptCount val="28"/>
                <c:pt idx="0">
                  <c:v>1-1</c:v>
                </c:pt>
                <c:pt idx="1">
                  <c:v>1-2</c:v>
                </c:pt>
                <c:pt idx="2">
                  <c:v>1-3</c:v>
                </c:pt>
                <c:pt idx="3">
                  <c:v>1-4</c:v>
                </c:pt>
                <c:pt idx="4">
                  <c:v>2-1</c:v>
                </c:pt>
                <c:pt idx="5">
                  <c:v>2-2</c:v>
                </c:pt>
                <c:pt idx="6">
                  <c:v>2-3</c:v>
                </c:pt>
                <c:pt idx="7">
                  <c:v>2-4</c:v>
                </c:pt>
                <c:pt idx="8">
                  <c:v>3-1</c:v>
                </c:pt>
                <c:pt idx="9">
                  <c:v>3-2</c:v>
                </c:pt>
                <c:pt idx="10">
                  <c:v>3-3</c:v>
                </c:pt>
                <c:pt idx="11">
                  <c:v>3-4</c:v>
                </c:pt>
                <c:pt idx="12">
                  <c:v>4-1</c:v>
                </c:pt>
                <c:pt idx="13">
                  <c:v>4-2</c:v>
                </c:pt>
                <c:pt idx="14">
                  <c:v>4-3</c:v>
                </c:pt>
                <c:pt idx="15">
                  <c:v>4-4</c:v>
                </c:pt>
                <c:pt idx="16">
                  <c:v>5-1</c:v>
                </c:pt>
                <c:pt idx="17">
                  <c:v>5-2</c:v>
                </c:pt>
                <c:pt idx="18">
                  <c:v>5-3</c:v>
                </c:pt>
                <c:pt idx="19">
                  <c:v>5-4</c:v>
                </c:pt>
                <c:pt idx="20">
                  <c:v>6-1</c:v>
                </c:pt>
                <c:pt idx="21">
                  <c:v>6-2</c:v>
                </c:pt>
                <c:pt idx="22">
                  <c:v>6-3</c:v>
                </c:pt>
                <c:pt idx="23">
                  <c:v>6-4</c:v>
                </c:pt>
                <c:pt idx="24">
                  <c:v>7-1</c:v>
                </c:pt>
                <c:pt idx="25">
                  <c:v>7-2</c:v>
                </c:pt>
                <c:pt idx="26">
                  <c:v>7-3</c:v>
                </c:pt>
                <c:pt idx="27">
                  <c:v>7-4</c:v>
                </c:pt>
              </c:strCache>
            </c:strRef>
          </c:cat>
          <c:val>
            <c:numRef>
              <c:f>'개편 요약'!$F$21:$F$48</c:f>
              <c:numCache>
                <c:formatCode>#,##0;\-#,##0;\-</c:formatCode>
                <c:ptCount val="28"/>
                <c:pt idx="0">
                  <c:v>18</c:v>
                </c:pt>
                <c:pt idx="1">
                  <c:v>18</c:v>
                </c:pt>
                <c:pt idx="2">
                  <c:v>19</c:v>
                </c:pt>
                <c:pt idx="3">
                  <c:v>19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22</c:v>
                </c:pt>
                <c:pt idx="8">
                  <c:v>24</c:v>
                </c:pt>
                <c:pt idx="9">
                  <c:v>24</c:v>
                </c:pt>
                <c:pt idx="10">
                  <c:v>25</c:v>
                </c:pt>
                <c:pt idx="11">
                  <c:v>25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29</c:v>
                </c:pt>
                <c:pt idx="16">
                  <c:v>31</c:v>
                </c:pt>
                <c:pt idx="17">
                  <c:v>32</c:v>
                </c:pt>
                <c:pt idx="18">
                  <c:v>32</c:v>
                </c:pt>
                <c:pt idx="19">
                  <c:v>33</c:v>
                </c:pt>
                <c:pt idx="20">
                  <c:v>36</c:v>
                </c:pt>
                <c:pt idx="21">
                  <c:v>37</c:v>
                </c:pt>
                <c:pt idx="22">
                  <c:v>37</c:v>
                </c:pt>
                <c:pt idx="23">
                  <c:v>38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6D-4C4A-980C-85D8BD1A4855}"/>
            </c:ext>
          </c:extLst>
        </c:ser>
        <c:ser>
          <c:idx val="3"/>
          <c:order val="3"/>
          <c:tx>
            <c:strRef>
              <c:f>'개편 요약'!$G$20</c:f>
              <c:strCache>
                <c:ptCount val="1"/>
                <c:pt idx="0">
                  <c:v>Ver02 일반 개수</c:v>
                </c:pt>
              </c:strCache>
            </c:strRef>
          </c:tx>
          <c:spPr>
            <a:ln w="22000">
              <a:solidFill>
                <a:srgbClr val="A6A6A6"/>
              </a:solidFill>
              <a:prstDash val="dash"/>
            </a:ln>
          </c:spPr>
          <c:marker>
            <c:symbol val="none"/>
          </c:marker>
          <c:cat>
            <c:strRef>
              <c:f>'개편 요약'!$A$21:$A$48</c:f>
              <c:strCache>
                <c:ptCount val="28"/>
                <c:pt idx="0">
                  <c:v>1-1</c:v>
                </c:pt>
                <c:pt idx="1">
                  <c:v>1-2</c:v>
                </c:pt>
                <c:pt idx="2">
                  <c:v>1-3</c:v>
                </c:pt>
                <c:pt idx="3">
                  <c:v>1-4</c:v>
                </c:pt>
                <c:pt idx="4">
                  <c:v>2-1</c:v>
                </c:pt>
                <c:pt idx="5">
                  <c:v>2-2</c:v>
                </c:pt>
                <c:pt idx="6">
                  <c:v>2-3</c:v>
                </c:pt>
                <c:pt idx="7">
                  <c:v>2-4</c:v>
                </c:pt>
                <c:pt idx="8">
                  <c:v>3-1</c:v>
                </c:pt>
                <c:pt idx="9">
                  <c:v>3-2</c:v>
                </c:pt>
                <c:pt idx="10">
                  <c:v>3-3</c:v>
                </c:pt>
                <c:pt idx="11">
                  <c:v>3-4</c:v>
                </c:pt>
                <c:pt idx="12">
                  <c:v>4-1</c:v>
                </c:pt>
                <c:pt idx="13">
                  <c:v>4-2</c:v>
                </c:pt>
                <c:pt idx="14">
                  <c:v>4-3</c:v>
                </c:pt>
                <c:pt idx="15">
                  <c:v>4-4</c:v>
                </c:pt>
                <c:pt idx="16">
                  <c:v>5-1</c:v>
                </c:pt>
                <c:pt idx="17">
                  <c:v>5-2</c:v>
                </c:pt>
                <c:pt idx="18">
                  <c:v>5-3</c:v>
                </c:pt>
                <c:pt idx="19">
                  <c:v>5-4</c:v>
                </c:pt>
                <c:pt idx="20">
                  <c:v>6-1</c:v>
                </c:pt>
                <c:pt idx="21">
                  <c:v>6-2</c:v>
                </c:pt>
                <c:pt idx="22">
                  <c:v>6-3</c:v>
                </c:pt>
                <c:pt idx="23">
                  <c:v>6-4</c:v>
                </c:pt>
                <c:pt idx="24">
                  <c:v>7-1</c:v>
                </c:pt>
                <c:pt idx="25">
                  <c:v>7-2</c:v>
                </c:pt>
                <c:pt idx="26">
                  <c:v>7-3</c:v>
                </c:pt>
                <c:pt idx="27">
                  <c:v>7-4</c:v>
                </c:pt>
              </c:strCache>
            </c:strRef>
          </c:cat>
          <c:val>
            <c:numRef>
              <c:f>'개편 요약'!$G$21:$G$48</c:f>
              <c:numCache>
                <c:formatCode>#,##0;\-#,##0;\-</c:formatCode>
                <c:ptCount val="28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19</c:v>
                </c:pt>
                <c:pt idx="4">
                  <c:v>23</c:v>
                </c:pt>
                <c:pt idx="5">
                  <c:v>9</c:v>
                </c:pt>
                <c:pt idx="6">
                  <c:v>7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16</c:v>
                </c:pt>
                <c:pt idx="11">
                  <c:v>20</c:v>
                </c:pt>
                <c:pt idx="12">
                  <c:v>24</c:v>
                </c:pt>
                <c:pt idx="13">
                  <c:v>6</c:v>
                </c:pt>
                <c:pt idx="14">
                  <c:v>8</c:v>
                </c:pt>
                <c:pt idx="15">
                  <c:v>9</c:v>
                </c:pt>
                <c:pt idx="16">
                  <c:v>14</c:v>
                </c:pt>
                <c:pt idx="17">
                  <c:v>16</c:v>
                </c:pt>
                <c:pt idx="18">
                  <c:v>18</c:v>
                </c:pt>
                <c:pt idx="19">
                  <c:v>7</c:v>
                </c:pt>
                <c:pt idx="20">
                  <c:v>10</c:v>
                </c:pt>
                <c:pt idx="21">
                  <c:v>13</c:v>
                </c:pt>
                <c:pt idx="22">
                  <c:v>11</c:v>
                </c:pt>
                <c:pt idx="23">
                  <c:v>15</c:v>
                </c:pt>
                <c:pt idx="24">
                  <c:v>14</c:v>
                </c:pt>
                <c:pt idx="25">
                  <c:v>19</c:v>
                </c:pt>
                <c:pt idx="26">
                  <c:v>21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6D-4C4A-980C-85D8BD1A4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스테이지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드랍 개수</a:t>
                </a:r>
              </a:p>
            </c:rich>
          </c:tx>
          <c:overlay val="1"/>
        </c:title>
        <c:numFmt formatCode="#,##0;\-#,##0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RowHeight="16.5" x14ac:dyDescent="0.3"/>
  <cols>
    <col min="1" max="1" width="44" customWidth="1"/>
    <col min="2" max="2" width="16" customWidth="1"/>
    <col min="3" max="5" width="14" customWidth="1"/>
    <col min="6" max="6" width="26" customWidth="1"/>
  </cols>
  <sheetData>
    <row r="1" spans="1:6" ht="20.25" customHeight="1" x14ac:dyDescent="0.35">
      <c r="A1" s="1" t="s">
        <v>0</v>
      </c>
    </row>
    <row r="2" spans="1:6" x14ac:dyDescent="0.3">
      <c r="A2" s="2" t="s">
        <v>1</v>
      </c>
    </row>
    <row r="4" spans="1:6" ht="27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4" t="s">
        <v>8</v>
      </c>
      <c r="B5" s="5">
        <f>SUMIF('스테이지별 골드'!$A$5:$A$32,A5,'스테이지별 골드'!$M$5:$M$32)</f>
        <v>1044</v>
      </c>
      <c r="C5" s="5">
        <f>SUMIF('스테이지별 골드'!$A$5:$A$32,A5,'스테이지별 골드'!$Q$5:$Q$32)</f>
        <v>2704</v>
      </c>
      <c r="D5" s="6">
        <f t="shared" ref="D5:D11" si="0">B5+C5</f>
        <v>3748</v>
      </c>
      <c r="E5" s="7">
        <f t="shared" ref="E5:E11" si="1">IF($D$12=0,0,D5/$D$12)</f>
        <v>1.7780788683296543E-3</v>
      </c>
      <c r="F5" s="8">
        <f>IF('스테이지별 골드'!$M$5=0,0,B5/4/'스테이지별 골드'!$M$5)</f>
        <v>2.4622641509433962</v>
      </c>
    </row>
    <row r="6" spans="1:6" x14ac:dyDescent="0.3">
      <c r="A6" s="4" t="s">
        <v>9</v>
      </c>
      <c r="B6" s="5">
        <f>SUMIF('스테이지별 골드'!$A$5:$A$32,A6,'스테이지별 골드'!$M$5:$M$32)</f>
        <v>3339</v>
      </c>
      <c r="C6" s="5">
        <f>SUMIF('스테이지별 골드'!$A$5:$A$32,A6,'스테이지별 골드'!$Q$5:$Q$32)</f>
        <v>7448</v>
      </c>
      <c r="D6" s="6">
        <f t="shared" si="0"/>
        <v>10787</v>
      </c>
      <c r="E6" s="7">
        <f t="shared" si="1"/>
        <v>5.1174324313425779E-3</v>
      </c>
      <c r="F6" s="8">
        <f>IF('스테이지별 골드'!$M$5=0,0,B6/4/'스테이지별 골드'!$M$5)</f>
        <v>7.875</v>
      </c>
    </row>
    <row r="7" spans="1:6" x14ac:dyDescent="0.3">
      <c r="A7" s="4" t="s">
        <v>10</v>
      </c>
      <c r="B7" s="5">
        <f>SUMIF('스테이지별 골드'!$A$5:$A$32,A7,'스테이지별 골드'!$M$5:$M$32)</f>
        <v>9740</v>
      </c>
      <c r="C7" s="5">
        <f>SUMIF('스테이지별 골드'!$A$5:$A$32,A7,'스테이지별 골드'!$Q$5:$Q$32)</f>
        <v>19654</v>
      </c>
      <c r="D7" s="6">
        <f t="shared" si="0"/>
        <v>29394</v>
      </c>
      <c r="E7" s="7">
        <f t="shared" si="1"/>
        <v>1.3944730591163784E-2</v>
      </c>
      <c r="F7" s="8">
        <f>IF('스테이지별 골드'!$M$5=0,0,B7/4/'스테이지별 골드'!$M$5)</f>
        <v>22.971698113207548</v>
      </c>
    </row>
    <row r="8" spans="1:6" x14ac:dyDescent="0.3">
      <c r="A8" s="4" t="s">
        <v>11</v>
      </c>
      <c r="B8" s="5">
        <f>SUMIF('스테이지별 골드'!$A$5:$A$32,A8,'스테이지별 골드'!$M$5:$M$32)</f>
        <v>26761</v>
      </c>
      <c r="C8" s="5">
        <f>SUMIF('스테이지별 골드'!$A$5:$A$32,A8,'스테이지별 골드'!$Q$5:$Q$32)</f>
        <v>50431</v>
      </c>
      <c r="D8" s="6">
        <f t="shared" si="0"/>
        <v>77192</v>
      </c>
      <c r="E8" s="7">
        <f t="shared" si="1"/>
        <v>3.6620454643570617E-2</v>
      </c>
      <c r="F8" s="8">
        <f>IF('스테이지별 골드'!$M$5=0,0,B8/4/'스테이지별 골드'!$M$5)</f>
        <v>63.115566037735846</v>
      </c>
    </row>
    <row r="9" spans="1:6" x14ac:dyDescent="0.3">
      <c r="A9" s="4" t="s">
        <v>12</v>
      </c>
      <c r="B9" s="5">
        <f>SUMIF('스테이지별 골드'!$A$5:$A$32,A9,'스테이지별 골드'!$M$5:$M$32)</f>
        <v>71560</v>
      </c>
      <c r="C9" s="5">
        <f>SUMIF('스테이지별 골드'!$A$5:$A$32,A9,'스테이지별 골드'!$Q$5:$Q$32)</f>
        <v>128070</v>
      </c>
      <c r="D9" s="6">
        <f t="shared" si="0"/>
        <v>199630</v>
      </c>
      <c r="E9" s="7">
        <f t="shared" si="1"/>
        <v>9.4705945700279848E-2</v>
      </c>
      <c r="F9" s="8">
        <f>IF('스테이지별 골드'!$M$5=0,0,B9/4/'스테이지별 골드'!$M$5)</f>
        <v>168.77358490566039</v>
      </c>
    </row>
    <row r="10" spans="1:6" x14ac:dyDescent="0.3">
      <c r="A10" s="4" t="s">
        <v>13</v>
      </c>
      <c r="B10" s="5">
        <f>SUMIF('스테이지별 골드'!$A$5:$A$32,A10,'스테이지별 골드'!$M$5:$M$32)</f>
        <v>187496</v>
      </c>
      <c r="C10" s="5">
        <f>SUMIF('스테이지별 골드'!$A$5:$A$32,A10,'스테이지별 골드'!$Q$5:$Q$32)</f>
        <v>322605</v>
      </c>
      <c r="D10" s="6">
        <f t="shared" si="0"/>
        <v>510101</v>
      </c>
      <c r="E10" s="7">
        <f t="shared" si="1"/>
        <v>0.24199568004637806</v>
      </c>
      <c r="F10" s="8">
        <f>IF('스테이지별 골드'!$M$5=0,0,B10/4/'스테이지별 골드'!$M$5)</f>
        <v>442.20754716981133</v>
      </c>
    </row>
    <row r="11" spans="1:6" x14ac:dyDescent="0.3">
      <c r="A11" s="4" t="s">
        <v>14</v>
      </c>
      <c r="B11" s="5">
        <f>SUMIF('스테이지별 골드'!$A$5:$A$32,A11,'스테이지별 골드'!$M$5:$M$32)</f>
        <v>478741</v>
      </c>
      <c r="C11" s="5">
        <f>SUMIF('스테이지별 골드'!$A$5:$A$32,A11,'스테이지별 골드'!$Q$5:$Q$32)</f>
        <v>798300</v>
      </c>
      <c r="D11" s="6">
        <f t="shared" si="0"/>
        <v>1277041</v>
      </c>
      <c r="E11" s="7">
        <f t="shared" si="1"/>
        <v>0.60583767771893549</v>
      </c>
      <c r="F11" s="8">
        <f>IF('스테이지별 골드'!$M$5=0,0,B11/4/'스테이지별 골드'!$M$5)</f>
        <v>1129.1061320754718</v>
      </c>
    </row>
    <row r="12" spans="1:6" x14ac:dyDescent="0.3">
      <c r="A12" s="9" t="s">
        <v>15</v>
      </c>
      <c r="B12" s="9">
        <f>SUM(B5:B11)</f>
        <v>778681</v>
      </c>
      <c r="C12" s="9">
        <f>SUM(C5:C11)</f>
        <v>1329212</v>
      </c>
      <c r="D12" s="9">
        <f>SUM(D5:D11)</f>
        <v>2107893</v>
      </c>
      <c r="E12" s="10">
        <f>SUM(E5:E11)</f>
        <v>1</v>
      </c>
      <c r="F12" s="9"/>
    </row>
    <row r="14" spans="1:6" x14ac:dyDescent="0.3">
      <c r="A14" s="127" t="s">
        <v>16</v>
      </c>
      <c r="B14" s="128"/>
    </row>
    <row r="15" spans="1:6" x14ac:dyDescent="0.3">
      <c r="A15" s="12" t="s">
        <v>17</v>
      </c>
      <c r="B15" s="13">
        <f>'스테이지별 골드'!M5</f>
        <v>106</v>
      </c>
    </row>
    <row r="16" spans="1:6" x14ac:dyDescent="0.3">
      <c r="A16" s="12" t="s">
        <v>18</v>
      </c>
      <c r="B16" s="13">
        <f>'스테이지별 골드'!M32</f>
        <v>173940</v>
      </c>
    </row>
    <row r="17" spans="1:2" x14ac:dyDescent="0.3">
      <c r="A17" s="12" t="s">
        <v>19</v>
      </c>
      <c r="B17" s="13">
        <f>'스테이지별 골드'!J5</f>
        <v>10</v>
      </c>
    </row>
    <row r="18" spans="1:2" x14ac:dyDescent="0.3">
      <c r="A18" s="12" t="s">
        <v>20</v>
      </c>
      <c r="B18" s="13">
        <f>'스테이지별 골드'!L32</f>
        <v>19500</v>
      </c>
    </row>
    <row r="19" spans="1:2" x14ac:dyDescent="0.3">
      <c r="A19" s="12" t="s">
        <v>21</v>
      </c>
      <c r="B19" s="13">
        <f>'스테이지별 골드'!S32</f>
        <v>2107893</v>
      </c>
    </row>
    <row r="20" spans="1:2" x14ac:dyDescent="0.3">
      <c r="A20" s="12" t="s">
        <v>22</v>
      </c>
      <c r="B20" s="13">
        <f>MAX('드랍 구성'!K5:K102)</f>
        <v>29</v>
      </c>
    </row>
    <row r="21" spans="1:2" x14ac:dyDescent="0.3">
      <c r="A21" s="12" t="s">
        <v>23</v>
      </c>
      <c r="B21" s="13">
        <f>MIN('드랍 구성'!K5:K102)</f>
        <v>6</v>
      </c>
    </row>
  </sheetData>
  <mergeCells count="1">
    <mergeCell ref="A14:B14"/>
  </mergeCells>
  <phoneticPr fontId="9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workbookViewId="0"/>
  </sheetViews>
  <sheetFormatPr defaultRowHeight="16.5" x14ac:dyDescent="0.3"/>
  <cols>
    <col min="1" max="1" width="150" customWidth="1"/>
  </cols>
  <sheetData>
    <row r="1" spans="1:1" ht="20.25" customHeight="1" x14ac:dyDescent="0.3">
      <c r="A1" s="31" t="s">
        <v>24</v>
      </c>
    </row>
    <row r="2" spans="1:1" x14ac:dyDescent="0.3">
      <c r="A2" s="32" t="s">
        <v>25</v>
      </c>
    </row>
    <row r="5" spans="1:1" x14ac:dyDescent="0.3">
      <c r="A5" s="33" t="s">
        <v>26</v>
      </c>
    </row>
    <row r="6" spans="1:1" x14ac:dyDescent="0.3">
      <c r="A6" s="34" t="s">
        <v>27</v>
      </c>
    </row>
    <row r="7" spans="1:1" x14ac:dyDescent="0.3">
      <c r="A7" s="34" t="s">
        <v>28</v>
      </c>
    </row>
    <row r="8" spans="1:1" x14ac:dyDescent="0.3">
      <c r="A8" s="34" t="s">
        <v>29</v>
      </c>
    </row>
    <row r="10" spans="1:1" x14ac:dyDescent="0.3">
      <c r="A10" s="33" t="s">
        <v>30</v>
      </c>
    </row>
    <row r="11" spans="1:1" x14ac:dyDescent="0.3">
      <c r="A11" s="34" t="s">
        <v>31</v>
      </c>
    </row>
    <row r="12" spans="1:1" x14ac:dyDescent="0.3">
      <c r="A12" s="34" t="s">
        <v>32</v>
      </c>
    </row>
    <row r="13" spans="1:1" x14ac:dyDescent="0.3">
      <c r="A13" s="34" t="s">
        <v>33</v>
      </c>
    </row>
    <row r="14" spans="1:1" x14ac:dyDescent="0.3">
      <c r="A14" s="34" t="s">
        <v>34</v>
      </c>
    </row>
    <row r="15" spans="1:1" x14ac:dyDescent="0.3">
      <c r="A15" s="34" t="s">
        <v>35</v>
      </c>
    </row>
    <row r="16" spans="1:1" x14ac:dyDescent="0.3">
      <c r="A16" s="34" t="s">
        <v>36</v>
      </c>
    </row>
    <row r="18" spans="1:1" x14ac:dyDescent="0.3">
      <c r="A18" s="33" t="s">
        <v>37</v>
      </c>
    </row>
    <row r="19" spans="1:1" x14ac:dyDescent="0.3">
      <c r="A19" s="34" t="s">
        <v>38</v>
      </c>
    </row>
    <row r="20" spans="1:1" x14ac:dyDescent="0.3">
      <c r="A20" s="34" t="s">
        <v>39</v>
      </c>
    </row>
    <row r="21" spans="1:1" x14ac:dyDescent="0.3">
      <c r="A21" s="34" t="s">
        <v>40</v>
      </c>
    </row>
    <row r="22" spans="1:1" x14ac:dyDescent="0.3">
      <c r="A22" s="34" t="s">
        <v>41</v>
      </c>
    </row>
    <row r="23" spans="1:1" x14ac:dyDescent="0.3">
      <c r="A23" s="34" t="s">
        <v>42</v>
      </c>
    </row>
    <row r="25" spans="1:1" x14ac:dyDescent="0.3">
      <c r="A25" s="33" t="s">
        <v>43</v>
      </c>
    </row>
    <row r="26" spans="1:1" x14ac:dyDescent="0.3">
      <c r="A26" s="34" t="s">
        <v>44</v>
      </c>
    </row>
    <row r="27" spans="1:1" x14ac:dyDescent="0.3">
      <c r="A27" s="34" t="s">
        <v>45</v>
      </c>
    </row>
    <row r="28" spans="1:1" x14ac:dyDescent="0.3">
      <c r="A28" s="34" t="s">
        <v>46</v>
      </c>
    </row>
    <row r="29" spans="1:1" x14ac:dyDescent="0.3">
      <c r="A29" s="34" t="s">
        <v>47</v>
      </c>
    </row>
    <row r="31" spans="1:1" x14ac:dyDescent="0.3">
      <c r="A31" s="33" t="s">
        <v>48</v>
      </c>
    </row>
    <row r="32" spans="1:1" x14ac:dyDescent="0.3">
      <c r="A32" s="34" t="s">
        <v>49</v>
      </c>
    </row>
    <row r="33" spans="1:1" x14ac:dyDescent="0.3">
      <c r="A33" s="34" t="s">
        <v>50</v>
      </c>
    </row>
    <row r="35" spans="1:1" x14ac:dyDescent="0.3">
      <c r="A35" s="33" t="s">
        <v>51</v>
      </c>
    </row>
    <row r="36" spans="1:1" x14ac:dyDescent="0.3">
      <c r="A36" s="34" t="s">
        <v>52</v>
      </c>
    </row>
    <row r="37" spans="1:1" x14ac:dyDescent="0.3">
      <c r="A37" s="34" t="s">
        <v>53</v>
      </c>
    </row>
    <row r="38" spans="1:1" x14ac:dyDescent="0.3">
      <c r="A38" s="34" t="s">
        <v>54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workbookViewId="0">
      <pane ySplit="5" topLeftCell="A6" activePane="bottomLeft" state="frozen"/>
      <selection pane="bottomLeft"/>
    </sheetView>
  </sheetViews>
  <sheetFormatPr defaultRowHeight="16.5" x14ac:dyDescent="0.3"/>
  <cols>
    <col min="1" max="1" width="14" customWidth="1"/>
    <col min="2" max="4" width="10" customWidth="1"/>
    <col min="5" max="5" width="11" customWidth="1"/>
    <col min="6" max="6" width="10" customWidth="1"/>
    <col min="7" max="11" width="12" customWidth="1"/>
    <col min="12" max="12" width="16" customWidth="1"/>
  </cols>
  <sheetData>
    <row r="1" spans="1:9" ht="20.25" customHeight="1" x14ac:dyDescent="0.3">
      <c r="A1" s="31" t="s">
        <v>55</v>
      </c>
    </row>
    <row r="2" spans="1:9" x14ac:dyDescent="0.3">
      <c r="A2" s="32" t="s">
        <v>56</v>
      </c>
    </row>
    <row r="4" spans="1:9" x14ac:dyDescent="0.3">
      <c r="A4" s="35" t="s">
        <v>57</v>
      </c>
    </row>
    <row r="5" spans="1:9" x14ac:dyDescent="0.3">
      <c r="A5" s="36" t="s">
        <v>58</v>
      </c>
      <c r="B5" s="36" t="s">
        <v>59</v>
      </c>
      <c r="C5" s="36" t="s">
        <v>60</v>
      </c>
      <c r="D5" s="36" t="s">
        <v>61</v>
      </c>
      <c r="E5" s="36" t="s">
        <v>62</v>
      </c>
      <c r="F5" s="36" t="s">
        <v>63</v>
      </c>
      <c r="G5" s="36" t="s">
        <v>64</v>
      </c>
    </row>
    <row r="6" spans="1:9" x14ac:dyDescent="0.3">
      <c r="A6" s="37" t="s">
        <v>65</v>
      </c>
      <c r="B6" s="38" t="str">
        <f>IFERROR(INDEX('드랍 구성 (개편)'!$B$5:$B$32,MATCH(TRUE,INDEX('드랍 구성 (개편)'!$U$5:$U$32&gt;0,0),0)),"—")</f>
        <v>1-1</v>
      </c>
      <c r="C6" s="38" t="str">
        <f>IFERROR(INDEX('드랍 구성 (개편)'!$B$5:$B$32,MATCH(TRUE,INDEX('드랍 구성 (개편)'!$T$5:$T$32&gt;0,0),0)),"—")</f>
        <v>1-2</v>
      </c>
      <c r="D6" s="38" t="str">
        <f>IFERROR(INDEX('드랍 구성 (개편)'!$B$5:$B$32,MATCH(TRUE,INDEX('드랍 구성 (개편)'!$S$5:$S$32&gt;0,0),0)),"—")</f>
        <v>3-3</v>
      </c>
      <c r="E6" s="38" t="str">
        <f>IFERROR(INDEX('드랍 구성 (개편)'!$B$5:$B$32,MATCH(TRUE,INDEX('드랍 구성 (개편)'!$R$5:$R$32&gt;0,0),0)),"—")</f>
        <v>6-1</v>
      </c>
      <c r="F6" s="38" t="str">
        <f>IFERROR(INDEX('드랍 구성 (개편)'!$B$5:$B$32,MATCH(TRUE,INDEX('드랍 구성 (개편)'!$Q$5:$Q$32&gt;0,0),0)),"—")</f>
        <v>—</v>
      </c>
      <c r="G6" s="38" t="str">
        <f>IFERROR(INDEX('드랍 구성 (개편)'!$B$5:$B$32,MATCH(TRUE,INDEX('드랍 구성 (개편)'!$P$5:$P$32&gt;0,0),0)),"—")</f>
        <v>—</v>
      </c>
    </row>
    <row r="7" spans="1:9" x14ac:dyDescent="0.3">
      <c r="A7" s="37" t="s">
        <v>66</v>
      </c>
      <c r="B7" s="38" t="str">
        <f>IFERROR(INDEX('드랍 구성 (개편)'!$B$33:$B$60,MATCH(TRUE,INDEX('드랍 구성 (개편)'!$U$33:$U$60&gt;0,0),0)),"—")</f>
        <v>1-1</v>
      </c>
      <c r="C7" s="38" t="str">
        <f>IFERROR(INDEX('드랍 구성 (개편)'!$B$33:$B$60,MATCH(TRUE,INDEX('드랍 구성 (개편)'!$T$33:$T$60&gt;0,0),0)),"—")</f>
        <v>1-1</v>
      </c>
      <c r="D7" s="38" t="str">
        <f>IFERROR(INDEX('드랍 구성 (개편)'!$B$33:$B$60,MATCH(TRUE,INDEX('드랍 구성 (개편)'!$S$33:$S$60&gt;0,0),0)),"—")</f>
        <v>3-2</v>
      </c>
      <c r="E7" s="38" t="str">
        <f>IFERROR(INDEX('드랍 구성 (개편)'!$B$33:$B$60,MATCH(TRUE,INDEX('드랍 구성 (개편)'!$R$33:$R$60&gt;0,0),0)),"—")</f>
        <v>5-3</v>
      </c>
      <c r="F7" s="38" t="str">
        <f>IFERROR(INDEX('드랍 구성 (개편)'!$B$33:$B$60,MATCH(TRUE,INDEX('드랍 구성 (개편)'!$Q$33:$Q$60&gt;0,0),0)),"—")</f>
        <v>7-3</v>
      </c>
      <c r="G7" s="38" t="str">
        <f>IFERROR(INDEX('드랍 구성 (개편)'!$B$33:$B$60,MATCH(TRUE,INDEX('드랍 구성 (개편)'!$P$33:$P$60&gt;0,0),0)),"—")</f>
        <v>—</v>
      </c>
    </row>
    <row r="8" spans="1:9" x14ac:dyDescent="0.3">
      <c r="A8" s="37" t="s">
        <v>67</v>
      </c>
      <c r="B8" s="38" t="str">
        <f>IFERROR(INDEX('드랍 구성 (개편)'!$B$61:$B$74,MATCH(TRUE,INDEX('드랍 구성 (개편)'!$U$61:$U$74&gt;0,0),0)),"—")</f>
        <v>1-2</v>
      </c>
      <c r="C8" s="38" t="str">
        <f>IFERROR(INDEX('드랍 구성 (개편)'!$B$61:$B$74,MATCH(TRUE,INDEX('드랍 구성 (개편)'!$T$61:$T$74&gt;0,0),0)),"—")</f>
        <v>1-2</v>
      </c>
      <c r="D8" s="38" t="str">
        <f>IFERROR(INDEX('드랍 구성 (개편)'!$B$61:$B$74,MATCH(TRUE,INDEX('드랍 구성 (개편)'!$S$61:$S$74&gt;0,0),0)),"—")</f>
        <v>1-4</v>
      </c>
      <c r="E8" s="38" t="str">
        <f>IFERROR(INDEX('드랍 구성 (개편)'!$B$61:$B$74,MATCH(TRUE,INDEX('드랍 구성 (개편)'!$R$61:$R$74&gt;0,0),0)),"—")</f>
        <v>3-4</v>
      </c>
      <c r="F8" s="38" t="str">
        <f>IFERROR(INDEX('드랍 구성 (개편)'!$B$61:$B$74,MATCH(TRUE,INDEX('드랍 구성 (개편)'!$Q$61:$Q$74&gt;0,0),0)),"—")</f>
        <v>5-4</v>
      </c>
      <c r="G8" s="38" t="str">
        <f>IFERROR(INDEX('드랍 구성 (개편)'!$B$61:$B$74,MATCH(TRUE,INDEX('드랍 구성 (개편)'!$P$61:$P$74&gt;0,0),0)),"—")</f>
        <v>7-4</v>
      </c>
    </row>
    <row r="9" spans="1:9" x14ac:dyDescent="0.3">
      <c r="A9" s="37" t="s">
        <v>68</v>
      </c>
      <c r="B9" s="38" t="str">
        <f>IFERROR(INDEX('드랍 구성 (개편)'!$B$75:$B$102,MATCH(TRUE,INDEX('드랍 구성 (개편)'!$U$75:$U$102&gt;0,0),0)),"—")</f>
        <v>1-1</v>
      </c>
      <c r="C9" s="38" t="str">
        <f>IFERROR(INDEX('드랍 구성 (개편)'!$B$75:$B$102,MATCH(TRUE,INDEX('드랍 구성 (개편)'!$T$75:$T$102&gt;0,0),0)),"—")</f>
        <v>1-1</v>
      </c>
      <c r="D9" s="38" t="str">
        <f>IFERROR(INDEX('드랍 구성 (개편)'!$B$75:$B$102,MATCH(TRUE,INDEX('드랍 구성 (개편)'!$S$75:$S$102&gt;0,0),0)),"—")</f>
        <v>2-2</v>
      </c>
      <c r="E9" s="38" t="str">
        <f>IFERROR(INDEX('드랍 구성 (개편)'!$B$75:$B$102,MATCH(TRUE,INDEX('드랍 구성 (개편)'!$R$75:$R$102&gt;0,0),0)),"—")</f>
        <v>4-3</v>
      </c>
      <c r="F9" s="38" t="str">
        <f>IFERROR(INDEX('드랍 구성 (개편)'!$B$75:$B$102,MATCH(TRUE,INDEX('드랍 구성 (개편)'!$Q$75:$Q$102&gt;0,0),0)),"—")</f>
        <v>6-3</v>
      </c>
      <c r="G9" s="38" t="str">
        <f>IFERROR(INDEX('드랍 구성 (개편)'!$B$75:$B$102,MATCH(TRUE,INDEX('드랍 구성 (개편)'!$P$75:$P$102&gt;0,0),0)),"—")</f>
        <v>—</v>
      </c>
    </row>
    <row r="11" spans="1:9" x14ac:dyDescent="0.3">
      <c r="A11" s="35" t="s">
        <v>69</v>
      </c>
    </row>
    <row r="12" spans="1:9" ht="27" customHeight="1" x14ac:dyDescent="0.3">
      <c r="A12" s="36" t="s">
        <v>58</v>
      </c>
      <c r="B12" s="36" t="s">
        <v>70</v>
      </c>
      <c r="C12" s="36" t="s">
        <v>71</v>
      </c>
      <c r="D12" s="36" t="s">
        <v>72</v>
      </c>
      <c r="E12" s="36" t="s">
        <v>73</v>
      </c>
      <c r="F12" s="36" t="s">
        <v>74</v>
      </c>
      <c r="G12" s="36" t="s">
        <v>75</v>
      </c>
      <c r="H12" s="36" t="s">
        <v>76</v>
      </c>
      <c r="I12" s="36" t="s">
        <v>77</v>
      </c>
    </row>
    <row r="13" spans="1:9" x14ac:dyDescent="0.3">
      <c r="A13" s="37" t="s">
        <v>65</v>
      </c>
      <c r="B13" s="39">
        <f>MIN('드랍 구성 (개편)'!$Z$5:$Z$32)</f>
        <v>6</v>
      </c>
      <c r="C13" s="39">
        <f>MAX('드랍 구성 (개편)'!$Z$5:$Z$32)</f>
        <v>24</v>
      </c>
      <c r="D13" s="40">
        <f>SUMPRODUCT(--('드랍 구성 (개편)'!$Z$6:$Z$32&lt;'드랍 구성 (개편)'!$Z$5:$Z$31))</f>
        <v>7</v>
      </c>
      <c r="E13" s="39">
        <f>MIN('드랍 구성 (개편)'!$V$5:$V$32)</f>
        <v>10</v>
      </c>
      <c r="F13" s="39">
        <f>MAX('드랍 구성 (개편)'!$V$5:$V$32)</f>
        <v>26</v>
      </c>
      <c r="G13" s="41">
        <f>SUMPRODUCT(--('드랍 구성 (개편)'!$V$6:$V$32&lt;'드랍 구성 (개편)'!$V$5:$V$31))</f>
        <v>0</v>
      </c>
      <c r="H13" s="42">
        <f>'드랍 구성 (개편)'!$V$32/'드랍 구성 (개편)'!$V$5</f>
        <v>2.6</v>
      </c>
      <c r="I13" s="43">
        <f>MAX(INDEX(ABS('드랍 구성 (개편)'!$X$5:$X$32),0))</f>
        <v>0.125</v>
      </c>
    </row>
    <row r="14" spans="1:9" x14ac:dyDescent="0.3">
      <c r="A14" s="37" t="s">
        <v>66</v>
      </c>
      <c r="B14" s="39">
        <f>MIN('드랍 구성 (개편)'!$Z$33:$Z$60)</f>
        <v>6</v>
      </c>
      <c r="C14" s="39">
        <f>MAX('드랍 구성 (개편)'!$Z$33:$Z$60)</f>
        <v>29</v>
      </c>
      <c r="D14" s="40">
        <f>SUMPRODUCT(--('드랍 구성 (개편)'!$Z$34:$Z$60&lt;'드랍 구성 (개편)'!$Z$33:$Z$59))</f>
        <v>6</v>
      </c>
      <c r="E14" s="39">
        <f>MIN('드랍 구성 (개편)'!$V$33:$V$60)</f>
        <v>12</v>
      </c>
      <c r="F14" s="39">
        <f>MAX('드랍 구성 (개편)'!$V$33:$V$60)</f>
        <v>31</v>
      </c>
      <c r="G14" s="41">
        <f>SUMPRODUCT(--('드랍 구성 (개편)'!$V$34:$V$60&lt;'드랍 구성 (개편)'!$V$33:$V$59))</f>
        <v>0</v>
      </c>
      <c r="H14" s="42">
        <f>'드랍 구성 (개편)'!$V$60/'드랍 구성 (개편)'!$V$33</f>
        <v>2.5833333333333335</v>
      </c>
      <c r="I14" s="43">
        <f>MAX(INDEX(ABS('드랍 구성 (개편)'!$X$33:$X$60),0))</f>
        <v>5.7692307692307709E-2</v>
      </c>
    </row>
    <row r="15" spans="1:9" x14ac:dyDescent="0.3">
      <c r="A15" s="37" t="s">
        <v>67</v>
      </c>
      <c r="B15" s="39">
        <f>MIN('드랍 구성 (개편)'!$Z$61:$Z$74)</f>
        <v>7</v>
      </c>
      <c r="C15" s="39">
        <f>MAX('드랍 구성 (개편)'!$Z$61:$Z$74)</f>
        <v>24</v>
      </c>
      <c r="D15" s="40">
        <f>SUMPRODUCT(--('드랍 구성 (개편)'!$Z$62:$Z$74&lt;'드랍 구성 (개편)'!$Z$61:$Z$73))</f>
        <v>3</v>
      </c>
      <c r="E15" s="39">
        <f>MIN('드랍 구성 (개편)'!$V$61:$V$74)</f>
        <v>20</v>
      </c>
      <c r="F15" s="39">
        <f>MAX('드랍 구성 (개편)'!$V$61:$V$74)</f>
        <v>37</v>
      </c>
      <c r="G15" s="41">
        <f>SUMPRODUCT(--('드랍 구성 (개편)'!$V$62:$V$74&lt;'드랍 구성 (개편)'!$V$61:$V$73))</f>
        <v>0</v>
      </c>
      <c r="H15" s="42">
        <f>'드랍 구성 (개편)'!$V$74/'드랍 구성 (개편)'!$V$61</f>
        <v>1.85</v>
      </c>
      <c r="I15" s="43">
        <f>MAX(INDEX(ABS('드랍 구성 (개편)'!$X$61:$X$74),0))</f>
        <v>3.669724770642202E-2</v>
      </c>
    </row>
    <row r="16" spans="1:9" x14ac:dyDescent="0.3">
      <c r="A16" s="37" t="s">
        <v>68</v>
      </c>
      <c r="B16" s="39">
        <f>MIN('드랍 구성 (개편)'!$Z$75:$Z$102)</f>
        <v>7</v>
      </c>
      <c r="C16" s="39">
        <f>MAX('드랍 구성 (개편)'!$Z$75:$Z$102)</f>
        <v>29</v>
      </c>
      <c r="D16" s="40">
        <f>SUMPRODUCT(--('드랍 구성 (개편)'!$Z$76:$Z$102&lt;'드랍 구성 (개편)'!$Z$75:$Z$101))</f>
        <v>8</v>
      </c>
      <c r="E16" s="39">
        <f>MIN('드랍 구성 (개편)'!$V$75:$V$102)</f>
        <v>18</v>
      </c>
      <c r="F16" s="39">
        <f>MAX('드랍 구성 (개편)'!$V$75:$V$102)</f>
        <v>44</v>
      </c>
      <c r="G16" s="41">
        <f>SUMPRODUCT(--('드랍 구성 (개편)'!$V$76:$V$102&lt;'드랍 구성 (개편)'!$V$75:$V$101))</f>
        <v>0</v>
      </c>
      <c r="H16" s="42">
        <f>'드랍 구성 (개편)'!$V$102/'드랍 구성 (개편)'!$V$75</f>
        <v>2.4444444444444446</v>
      </c>
      <c r="I16" s="43">
        <f>MAX(INDEX(ABS('드랍 구성 (개편)'!$X$75:$X$102),0))</f>
        <v>4.5801526717557217E-2</v>
      </c>
    </row>
    <row r="17" spans="1:12" x14ac:dyDescent="0.3">
      <c r="A17" s="129" t="s">
        <v>78</v>
      </c>
      <c r="B17" s="130"/>
      <c r="C17" s="130"/>
      <c r="D17" s="130"/>
      <c r="E17" s="131"/>
      <c r="F17" s="45">
        <f>SUM('드랍 구성 (개편)'!$AB$5:$AB$102)/SUMPRODUCT('드랍 구성 (개편)'!$E$5:$E$102,'드랍 구성 (개편)'!$F$5:$F$102)-1</f>
        <v>1.4355567384112256E-3</v>
      </c>
    </row>
    <row r="19" spans="1:12" x14ac:dyDescent="0.3">
      <c r="A19" s="35" t="s">
        <v>79</v>
      </c>
    </row>
    <row r="20" spans="1:12" ht="27" customHeight="1" x14ac:dyDescent="0.3">
      <c r="A20" s="36" t="s">
        <v>80</v>
      </c>
      <c r="B20" s="36" t="s">
        <v>81</v>
      </c>
      <c r="C20" s="36" t="s">
        <v>82</v>
      </c>
      <c r="D20" s="36" t="s">
        <v>83</v>
      </c>
      <c r="E20" s="36" t="s">
        <v>84</v>
      </c>
      <c r="F20" s="36" t="s">
        <v>85</v>
      </c>
      <c r="G20" s="36" t="s">
        <v>86</v>
      </c>
      <c r="H20" s="36" t="s">
        <v>87</v>
      </c>
      <c r="I20" s="36" t="s">
        <v>88</v>
      </c>
      <c r="J20" s="36" t="s">
        <v>89</v>
      </c>
      <c r="K20" s="36" t="s">
        <v>90</v>
      </c>
      <c r="L20" s="36" t="s">
        <v>91</v>
      </c>
    </row>
    <row r="21" spans="1:12" x14ac:dyDescent="0.3">
      <c r="A21" s="46" t="str">
        <f>'스테이지별 골드'!C5</f>
        <v>1-1</v>
      </c>
      <c r="B21" s="38" t="str">
        <f>'허들 설계'!F5</f>
        <v>튜토리얼</v>
      </c>
      <c r="C21" s="39">
        <f>IFERROR(INDEX('드랍 구성 (개편)'!$V$5:$V$32,MATCH($A21,'드랍 구성 (개편)'!$B$5:$B$32,0)),"—")</f>
        <v>10</v>
      </c>
      <c r="D21" s="39">
        <f>IFERROR(INDEX('드랍 구성 (개편)'!$V$33:$V$60,MATCH($A21,'드랍 구성 (개편)'!$B$33:$B$60,0)),"—")</f>
        <v>12</v>
      </c>
      <c r="E21" s="39" t="str">
        <f>IFERROR(INDEX('드랍 구성 (개편)'!$V$61:$V$74,MATCH($A21,'드랍 구성 (개편)'!$B$61:$B$74,0)),"—")</f>
        <v>—</v>
      </c>
      <c r="F21" s="39">
        <f>IFERROR(INDEX('드랍 구성 (개편)'!$V$75:$V$102,MATCH($A21,'드랍 구성 (개편)'!$B$75:$B$102,0)),"—")</f>
        <v>18</v>
      </c>
      <c r="G21" s="39">
        <f>IFERROR(INDEX('드랍 구성 (개편)'!$Z$5:$Z$32,MATCH($A21,'드랍 구성 (개편)'!$B$5:$B$32,0)),"—")</f>
        <v>10</v>
      </c>
      <c r="H21" s="38" t="str">
        <f>IFERROR(INDEX('드랍 구성 (개편)'!$Y$5:$Y$32,MATCH($A21,'드랍 구성 (개편)'!$B$5:$B$32,0)),"—")</f>
        <v>금 코인</v>
      </c>
      <c r="I21" s="38" t="str">
        <f>IFERROR(INDEX('드랍 구성 (개편)'!$Y$33:$Y$60,MATCH($A21,'드랍 구성 (개편)'!$B$33:$B$60,0)),"—")</f>
        <v>금 코인</v>
      </c>
      <c r="J21" s="38" t="str">
        <f>IFERROR(INDEX('드랍 구성 (개편)'!$Y$61:$Y$74,MATCH($A21,'드랍 구성 (개편)'!$B$61:$B$74,0)),"—")</f>
        <v>—</v>
      </c>
      <c r="K21" s="38" t="str">
        <f>IFERROR(INDEX('드랍 구성 (개편)'!$Y$75:$Y$102,MATCH($A21,'드랍 구성 (개편)'!$B$75:$B$102,0)),"—")</f>
        <v>금괴</v>
      </c>
      <c r="L21" s="46" t="str">
        <f>'허들 설계'!R5</f>
        <v>금 코인 · 금괴 (기본)</v>
      </c>
    </row>
    <row r="22" spans="1:12" x14ac:dyDescent="0.3">
      <c r="A22" s="46" t="str">
        <f>'스테이지별 골드'!C6</f>
        <v>1-2</v>
      </c>
      <c r="B22" s="38" t="str">
        <f>'허들 설계'!F6</f>
        <v>소허들</v>
      </c>
      <c r="C22" s="39">
        <f>IFERROR(INDEX('드랍 구성 (개편)'!$V$5:$V$32,MATCH($A22,'드랍 구성 (개편)'!$B$5:$B$32,0)),"—")</f>
        <v>10</v>
      </c>
      <c r="D22" s="39">
        <f>IFERROR(INDEX('드랍 구성 (개편)'!$V$33:$V$60,MATCH($A22,'드랍 구성 (개편)'!$B$33:$B$60,0)),"—")</f>
        <v>12</v>
      </c>
      <c r="E22" s="39">
        <f>IFERROR(INDEX('드랍 구성 (개편)'!$V$61:$V$74,MATCH($A22,'드랍 구성 (개편)'!$B$61:$B$74,0)),"—")</f>
        <v>20</v>
      </c>
      <c r="F22" s="39">
        <f>IFERROR(INDEX('드랍 구성 (개편)'!$V$75:$V$102,MATCH($A22,'드랍 구성 (개편)'!$B$75:$B$102,0)),"—")</f>
        <v>18</v>
      </c>
      <c r="G22" s="39">
        <f>IFERROR(INDEX('드랍 구성 (개편)'!$Z$5:$Z$32,MATCH($A22,'드랍 구성 (개편)'!$B$5:$B$32,0)),"—")</f>
        <v>13</v>
      </c>
      <c r="H22" s="38" t="str">
        <f>IFERROR(INDEX('드랍 구성 (개편)'!$Y$5:$Y$32,MATCH($A22,'드랍 구성 (개편)'!$B$5:$B$32,0)),"—")</f>
        <v>금 코인</v>
      </c>
      <c r="I22" s="38" t="str">
        <f>IFERROR(INDEX('드랍 구성 (개편)'!$Y$33:$Y$60,MATCH($A22,'드랍 구성 (개편)'!$B$33:$B$60,0)),"—")</f>
        <v>금괴</v>
      </c>
      <c r="J22" s="38" t="str">
        <f>IFERROR(INDEX('드랍 구성 (개편)'!$Y$61:$Y$74,MATCH($A22,'드랍 구성 (개편)'!$B$61:$B$74,0)),"—")</f>
        <v>금괴</v>
      </c>
      <c r="K22" s="38" t="str">
        <f>IFERROR(INDEX('드랍 구성 (개편)'!$Y$75:$Y$102,MATCH($A22,'드랍 구성 (개편)'!$B$75:$B$102,0)),"—")</f>
        <v>금괴</v>
      </c>
      <c r="L22" s="46" t="str">
        <f>'허들 설계'!R6</f>
        <v/>
      </c>
    </row>
    <row r="23" spans="1:12" x14ac:dyDescent="0.3">
      <c r="A23" s="46" t="str">
        <f>'스테이지별 골드'!C7</f>
        <v>1-3</v>
      </c>
      <c r="B23" s="38" t="str">
        <f>'허들 설계'!F7</f>
        <v>평탄</v>
      </c>
      <c r="C23" s="39">
        <f>IFERROR(INDEX('드랍 구성 (개편)'!$V$5:$V$32,MATCH($A23,'드랍 구성 (개편)'!$B$5:$B$32,0)),"—")</f>
        <v>10</v>
      </c>
      <c r="D23" s="39">
        <f>IFERROR(INDEX('드랍 구성 (개편)'!$V$33:$V$60,MATCH($A23,'드랍 구성 (개편)'!$B$33:$B$60,0)),"—")</f>
        <v>12</v>
      </c>
      <c r="E23" s="39" t="str">
        <f>IFERROR(INDEX('드랍 구성 (개편)'!$V$61:$V$74,MATCH($A23,'드랍 구성 (개편)'!$B$61:$B$74,0)),"—")</f>
        <v>—</v>
      </c>
      <c r="F23" s="39">
        <f>IFERROR(INDEX('드랍 구성 (개편)'!$V$75:$V$102,MATCH($A23,'드랍 구성 (개편)'!$B$75:$B$102,0)),"—")</f>
        <v>19</v>
      </c>
      <c r="G23" s="39">
        <f>IFERROR(INDEX('드랍 구성 (개편)'!$Z$5:$Z$32,MATCH($A23,'드랍 구성 (개편)'!$B$5:$B$32,0)),"—")</f>
        <v>15</v>
      </c>
      <c r="H23" s="38" t="str">
        <f>IFERROR(INDEX('드랍 구성 (개편)'!$Y$5:$Y$32,MATCH($A23,'드랍 구성 (개편)'!$B$5:$B$32,0)),"—")</f>
        <v>금 코인</v>
      </c>
      <c r="I23" s="38" t="str">
        <f>IFERROR(INDEX('드랍 구성 (개편)'!$Y$33:$Y$60,MATCH($A23,'드랍 구성 (개편)'!$B$33:$B$60,0)),"—")</f>
        <v>금괴</v>
      </c>
      <c r="J23" s="38" t="str">
        <f>IFERROR(INDEX('드랍 구성 (개편)'!$Y$61:$Y$74,MATCH($A23,'드랍 구성 (개편)'!$B$61:$B$74,0)),"—")</f>
        <v>—</v>
      </c>
      <c r="K23" s="38" t="str">
        <f>IFERROR(INDEX('드랍 구성 (개편)'!$Y$75:$Y$102,MATCH($A23,'드랍 구성 (개편)'!$B$75:$B$102,0)),"—")</f>
        <v>금괴</v>
      </c>
      <c r="L23" s="46" t="str">
        <f>'허들 설계'!R7</f>
        <v/>
      </c>
    </row>
    <row r="24" spans="1:12" x14ac:dyDescent="0.3">
      <c r="A24" s="46" t="str">
        <f>'스테이지별 골드'!C8</f>
        <v>1-4</v>
      </c>
      <c r="B24" s="38" t="str">
        <f>'허들 설계'!F8</f>
        <v>대허들</v>
      </c>
      <c r="C24" s="39">
        <f>IFERROR(INDEX('드랍 구성 (개편)'!$V$5:$V$32,MATCH($A24,'드랍 구성 (개편)'!$B$5:$B$32,0)),"—")</f>
        <v>11</v>
      </c>
      <c r="D24" s="39">
        <f>IFERROR(INDEX('드랍 구성 (개편)'!$V$33:$V$60,MATCH($A24,'드랍 구성 (개편)'!$B$33:$B$60,0)),"—")</f>
        <v>13</v>
      </c>
      <c r="E24" s="39">
        <f>IFERROR(INDEX('드랍 구성 (개편)'!$V$61:$V$74,MATCH($A24,'드랍 구성 (개편)'!$B$61:$B$74,0)),"—")</f>
        <v>21</v>
      </c>
      <c r="F24" s="39">
        <f>IFERROR(INDEX('드랍 구성 (개편)'!$V$75:$V$102,MATCH($A24,'드랍 구성 (개편)'!$B$75:$B$102,0)),"—")</f>
        <v>19</v>
      </c>
      <c r="G24" s="39">
        <f>IFERROR(INDEX('드랍 구성 (개편)'!$Z$5:$Z$32,MATCH($A24,'드랍 구성 (개편)'!$B$5:$B$32,0)),"—")</f>
        <v>19</v>
      </c>
      <c r="H24" s="38" t="str">
        <f>IFERROR(INDEX('드랍 구성 (개편)'!$Y$5:$Y$32,MATCH($A24,'드랍 구성 (개편)'!$B$5:$B$32,0)),"—")</f>
        <v>금괴</v>
      </c>
      <c r="I24" s="38" t="str">
        <f>IFERROR(INDEX('드랍 구성 (개편)'!$Y$33:$Y$60,MATCH($A24,'드랍 구성 (개편)'!$B$33:$B$60,0)),"—")</f>
        <v>금괴</v>
      </c>
      <c r="J24" s="38" t="str">
        <f>IFERROR(INDEX('드랍 구성 (개편)'!$Y$61:$Y$74,MATCH($A24,'드랍 구성 (개편)'!$B$61:$B$74,0)),"—")</f>
        <v>금괴</v>
      </c>
      <c r="K24" s="38" t="str">
        <f>IFERROR(INDEX('드랍 구성 (개편)'!$Y$75:$Y$102,MATCH($A24,'드랍 구성 (개편)'!$B$75:$B$102,0)),"—")</f>
        <v>금괴</v>
      </c>
      <c r="L24" s="46" t="str">
        <f>'허들 설계'!R8</f>
        <v>사파이어</v>
      </c>
    </row>
    <row r="25" spans="1:12" x14ac:dyDescent="0.3">
      <c r="A25" s="46" t="str">
        <f>'스테이지별 골드'!C9</f>
        <v>2-1</v>
      </c>
      <c r="B25" s="38" t="str">
        <f>'허들 설계'!F9</f>
        <v>돌파</v>
      </c>
      <c r="C25" s="39">
        <f>IFERROR(INDEX('드랍 구성 (개편)'!$V$5:$V$32,MATCH($A25,'드랍 구성 (개편)'!$B$5:$B$32,0)),"—")</f>
        <v>12</v>
      </c>
      <c r="D25" s="39">
        <f>IFERROR(INDEX('드랍 구성 (개편)'!$V$33:$V$60,MATCH($A25,'드랍 구성 (개편)'!$B$33:$B$60,0)),"—")</f>
        <v>14</v>
      </c>
      <c r="E25" s="39" t="str">
        <f>IFERROR(INDEX('드랍 구성 (개편)'!$V$61:$V$74,MATCH($A25,'드랍 구성 (개편)'!$B$61:$B$74,0)),"—")</f>
        <v>—</v>
      </c>
      <c r="F25" s="39">
        <f>IFERROR(INDEX('드랍 구성 (개편)'!$V$75:$V$102,MATCH($A25,'드랍 구성 (개편)'!$B$75:$B$102,0)),"—")</f>
        <v>21</v>
      </c>
      <c r="G25" s="39">
        <f>IFERROR(INDEX('드랍 구성 (개편)'!$Z$5:$Z$32,MATCH($A25,'드랍 구성 (개편)'!$B$5:$B$32,0)),"—")</f>
        <v>23</v>
      </c>
      <c r="H25" s="38" t="str">
        <f>IFERROR(INDEX('드랍 구성 (개편)'!$Y$5:$Y$32,MATCH($A25,'드랍 구성 (개편)'!$B$5:$B$32,0)),"—")</f>
        <v>금괴</v>
      </c>
      <c r="I25" s="38" t="str">
        <f>IFERROR(INDEX('드랍 구성 (개편)'!$Y$33:$Y$60,MATCH($A25,'드랍 구성 (개편)'!$B$33:$B$60,0)),"—")</f>
        <v>금괴</v>
      </c>
      <c r="J25" s="38" t="str">
        <f>IFERROR(INDEX('드랍 구성 (개편)'!$Y$61:$Y$74,MATCH($A25,'드랍 구성 (개편)'!$B$61:$B$74,0)),"—")</f>
        <v>—</v>
      </c>
      <c r="K25" s="38" t="str">
        <f>IFERROR(INDEX('드랍 구성 (개편)'!$Y$75:$Y$102,MATCH($A25,'드랍 구성 (개편)'!$B$75:$B$102,0)),"—")</f>
        <v>금괴</v>
      </c>
      <c r="L25" s="46" t="str">
        <f>'허들 설계'!R9</f>
        <v/>
      </c>
    </row>
    <row r="26" spans="1:12" x14ac:dyDescent="0.3">
      <c r="A26" s="46" t="str">
        <f>'스테이지별 골드'!C10</f>
        <v>2-2</v>
      </c>
      <c r="B26" s="38" t="str">
        <f>'허들 설계'!F10</f>
        <v>소허들</v>
      </c>
      <c r="C26" s="39">
        <f>IFERROR(INDEX('드랍 구성 (개편)'!$V$5:$V$32,MATCH($A26,'드랍 구성 (개편)'!$B$5:$B$32,0)),"—")</f>
        <v>12</v>
      </c>
      <c r="D26" s="39">
        <f>IFERROR(INDEX('드랍 구성 (개편)'!$V$33:$V$60,MATCH($A26,'드랍 구성 (개편)'!$B$33:$B$60,0)),"—")</f>
        <v>14</v>
      </c>
      <c r="E26" s="39">
        <f>IFERROR(INDEX('드랍 구성 (개편)'!$V$61:$V$74,MATCH($A26,'드랍 구성 (개편)'!$B$61:$B$74,0)),"—")</f>
        <v>22</v>
      </c>
      <c r="F26" s="39">
        <f>IFERROR(INDEX('드랍 구성 (개편)'!$V$75:$V$102,MATCH($A26,'드랍 구성 (개편)'!$B$75:$B$102,0)),"—")</f>
        <v>21</v>
      </c>
      <c r="G26" s="39">
        <f>IFERROR(INDEX('드랍 구성 (개편)'!$Z$5:$Z$32,MATCH($A26,'드랍 구성 (개편)'!$B$5:$B$32,0)),"—")</f>
        <v>9</v>
      </c>
      <c r="H26" s="38" t="str">
        <f>IFERROR(INDEX('드랍 구성 (개편)'!$Y$5:$Y$32,MATCH($A26,'드랍 구성 (개편)'!$B$5:$B$32,0)),"—")</f>
        <v>금괴</v>
      </c>
      <c r="I26" s="38" t="str">
        <f>IFERROR(INDEX('드랍 구성 (개편)'!$Y$33:$Y$60,MATCH($A26,'드랍 구성 (개편)'!$B$33:$B$60,0)),"—")</f>
        <v>금괴</v>
      </c>
      <c r="J26" s="38" t="str">
        <f>IFERROR(INDEX('드랍 구성 (개편)'!$Y$61:$Y$74,MATCH($A26,'드랍 구성 (개편)'!$B$61:$B$74,0)),"—")</f>
        <v>사파이어</v>
      </c>
      <c r="K26" s="38" t="str">
        <f>IFERROR(INDEX('드랍 구성 (개편)'!$Y$75:$Y$102,MATCH($A26,'드랍 구성 (개편)'!$B$75:$B$102,0)),"—")</f>
        <v>금괴</v>
      </c>
      <c r="L26" s="46" t="str">
        <f>'허들 설계'!R10</f>
        <v/>
      </c>
    </row>
    <row r="27" spans="1:12" x14ac:dyDescent="0.3">
      <c r="A27" s="46" t="str">
        <f>'스테이지별 골드'!C11</f>
        <v>2-3</v>
      </c>
      <c r="B27" s="38" t="str">
        <f>'허들 설계'!F11</f>
        <v>평탄</v>
      </c>
      <c r="C27" s="39">
        <f>IFERROR(INDEX('드랍 구성 (개편)'!$V$5:$V$32,MATCH($A27,'드랍 구성 (개편)'!$B$5:$B$32,0)),"—")</f>
        <v>12</v>
      </c>
      <c r="D27" s="39">
        <f>IFERROR(INDEX('드랍 구성 (개편)'!$V$33:$V$60,MATCH($A27,'드랍 구성 (개편)'!$B$33:$B$60,0)),"—")</f>
        <v>14</v>
      </c>
      <c r="E27" s="39" t="str">
        <f>IFERROR(INDEX('드랍 구성 (개편)'!$V$61:$V$74,MATCH($A27,'드랍 구성 (개편)'!$B$61:$B$74,0)),"—")</f>
        <v>—</v>
      </c>
      <c r="F27" s="39">
        <f>IFERROR(INDEX('드랍 구성 (개편)'!$V$75:$V$102,MATCH($A27,'드랍 구성 (개편)'!$B$75:$B$102,0)),"—")</f>
        <v>21</v>
      </c>
      <c r="G27" s="39">
        <f>IFERROR(INDEX('드랍 구성 (개편)'!$Z$5:$Z$32,MATCH($A27,'드랍 구성 (개편)'!$B$5:$B$32,0)),"—")</f>
        <v>7</v>
      </c>
      <c r="H27" s="38" t="str">
        <f>IFERROR(INDEX('드랍 구성 (개편)'!$Y$5:$Y$32,MATCH($A27,'드랍 구성 (개편)'!$B$5:$B$32,0)),"—")</f>
        <v>금괴</v>
      </c>
      <c r="I27" s="38" t="str">
        <f>IFERROR(INDEX('드랍 구성 (개편)'!$Y$33:$Y$60,MATCH($A27,'드랍 구성 (개편)'!$B$33:$B$60,0)),"—")</f>
        <v>금괴</v>
      </c>
      <c r="J27" s="38" t="str">
        <f>IFERROR(INDEX('드랍 구성 (개편)'!$Y$61:$Y$74,MATCH($A27,'드랍 구성 (개편)'!$B$61:$B$74,0)),"—")</f>
        <v>—</v>
      </c>
      <c r="K27" s="38" t="str">
        <f>IFERROR(INDEX('드랍 구성 (개편)'!$Y$75:$Y$102,MATCH($A27,'드랍 구성 (개편)'!$B$75:$B$102,0)),"—")</f>
        <v>금괴</v>
      </c>
      <c r="L27" s="46" t="str">
        <f>'허들 설계'!R11</f>
        <v/>
      </c>
    </row>
    <row r="28" spans="1:12" x14ac:dyDescent="0.3">
      <c r="A28" s="46" t="str">
        <f>'스테이지별 골드'!C12</f>
        <v>2-4</v>
      </c>
      <c r="B28" s="38" t="str">
        <f>'허들 설계'!F12</f>
        <v>대허들</v>
      </c>
      <c r="C28" s="39">
        <f>IFERROR(INDEX('드랍 구성 (개편)'!$V$5:$V$32,MATCH($A28,'드랍 구성 (개편)'!$B$5:$B$32,0)),"—")</f>
        <v>12</v>
      </c>
      <c r="D28" s="39">
        <f>IFERROR(INDEX('드랍 구성 (개편)'!$V$33:$V$60,MATCH($A28,'드랍 구성 (개편)'!$B$33:$B$60,0)),"—")</f>
        <v>15</v>
      </c>
      <c r="E28" s="39">
        <f>IFERROR(INDEX('드랍 구성 (개편)'!$V$61:$V$74,MATCH($A28,'드랍 구성 (개편)'!$B$61:$B$74,0)),"—")</f>
        <v>23</v>
      </c>
      <c r="F28" s="39">
        <f>IFERROR(INDEX('드랍 구성 (개편)'!$V$75:$V$102,MATCH($A28,'드랍 구성 (개편)'!$B$75:$B$102,0)),"—")</f>
        <v>22</v>
      </c>
      <c r="G28" s="39">
        <f>IFERROR(INDEX('드랍 구성 (개편)'!$Z$5:$Z$32,MATCH($A28,'드랍 구성 (개편)'!$B$5:$B$32,0)),"—")</f>
        <v>12</v>
      </c>
      <c r="H28" s="38" t="str">
        <f>IFERROR(INDEX('드랍 구성 (개편)'!$Y$5:$Y$32,MATCH($A28,'드랍 구성 (개편)'!$B$5:$B$32,0)),"—")</f>
        <v>금괴</v>
      </c>
      <c r="I28" s="38" t="str">
        <f>IFERROR(INDEX('드랍 구성 (개편)'!$Y$33:$Y$60,MATCH($A28,'드랍 구성 (개편)'!$B$33:$B$60,0)),"—")</f>
        <v>금괴</v>
      </c>
      <c r="J28" s="38" t="str">
        <f>IFERROR(INDEX('드랍 구성 (개편)'!$Y$61:$Y$74,MATCH($A28,'드랍 구성 (개편)'!$B$61:$B$74,0)),"—")</f>
        <v>사파이어</v>
      </c>
      <c r="K28" s="38" t="str">
        <f>IFERROR(INDEX('드랍 구성 (개편)'!$Y$75:$Y$102,MATCH($A28,'드랍 구성 (개편)'!$B$75:$B$102,0)),"—")</f>
        <v>사파이어</v>
      </c>
      <c r="L28" s="46" t="str">
        <f>'허들 설계'!R12</f>
        <v/>
      </c>
    </row>
    <row r="29" spans="1:12" x14ac:dyDescent="0.3">
      <c r="A29" s="46" t="str">
        <f>'스테이지별 골드'!C13</f>
        <v>3-1</v>
      </c>
      <c r="B29" s="38" t="str">
        <f>'허들 설계'!F13</f>
        <v>돌파</v>
      </c>
      <c r="C29" s="39">
        <f>IFERROR(INDEX('드랍 구성 (개편)'!$V$5:$V$32,MATCH($A29,'드랍 구성 (개편)'!$B$5:$B$32,0)),"—")</f>
        <v>13</v>
      </c>
      <c r="D29" s="39">
        <f>IFERROR(INDEX('드랍 구성 (개편)'!$V$33:$V$60,MATCH($A29,'드랍 구성 (개편)'!$B$33:$B$60,0)),"—")</f>
        <v>16</v>
      </c>
      <c r="E29" s="39" t="str">
        <f>IFERROR(INDEX('드랍 구성 (개편)'!$V$61:$V$74,MATCH($A29,'드랍 구성 (개편)'!$B$61:$B$74,0)),"—")</f>
        <v>—</v>
      </c>
      <c r="F29" s="39">
        <f>IFERROR(INDEX('드랍 구성 (개편)'!$V$75:$V$102,MATCH($A29,'드랍 구성 (개편)'!$B$75:$B$102,0)),"—")</f>
        <v>24</v>
      </c>
      <c r="G29" s="39">
        <f>IFERROR(INDEX('드랍 구성 (개편)'!$Z$5:$Z$32,MATCH($A29,'드랍 구성 (개편)'!$B$5:$B$32,0)),"—")</f>
        <v>13</v>
      </c>
      <c r="H29" s="38" t="str">
        <f>IFERROR(INDEX('드랍 구성 (개편)'!$Y$5:$Y$32,MATCH($A29,'드랍 구성 (개편)'!$B$5:$B$32,0)),"—")</f>
        <v>금괴</v>
      </c>
      <c r="I29" s="38" t="str">
        <f>IFERROR(INDEX('드랍 구성 (개편)'!$Y$33:$Y$60,MATCH($A29,'드랍 구성 (개편)'!$B$33:$B$60,0)),"—")</f>
        <v>금괴</v>
      </c>
      <c r="J29" s="38" t="str">
        <f>IFERROR(INDEX('드랍 구성 (개편)'!$Y$61:$Y$74,MATCH($A29,'드랍 구성 (개편)'!$B$61:$B$74,0)),"—")</f>
        <v>—</v>
      </c>
      <c r="K29" s="38" t="str">
        <f>IFERROR(INDEX('드랍 구성 (개편)'!$Y$75:$Y$102,MATCH($A29,'드랍 구성 (개편)'!$B$75:$B$102,0)),"—")</f>
        <v>사파이어</v>
      </c>
      <c r="L29" s="46" t="str">
        <f>'허들 설계'!R13</f>
        <v/>
      </c>
    </row>
    <row r="30" spans="1:12" x14ac:dyDescent="0.3">
      <c r="A30" s="46" t="str">
        <f>'스테이지별 골드'!C14</f>
        <v>3-2</v>
      </c>
      <c r="B30" s="38" t="str">
        <f>'허들 설계'!F14</f>
        <v>소허들</v>
      </c>
      <c r="C30" s="39">
        <f>IFERROR(INDEX('드랍 구성 (개편)'!$V$5:$V$32,MATCH($A30,'드랍 구성 (개편)'!$B$5:$B$32,0)),"—")</f>
        <v>14</v>
      </c>
      <c r="D30" s="39">
        <f>IFERROR(INDEX('드랍 구성 (개편)'!$V$33:$V$60,MATCH($A30,'드랍 구성 (개편)'!$B$33:$B$60,0)),"—")</f>
        <v>16</v>
      </c>
      <c r="E30" s="39">
        <f>IFERROR(INDEX('드랍 구성 (개편)'!$V$61:$V$74,MATCH($A30,'드랍 구성 (개편)'!$B$61:$B$74,0)),"—")</f>
        <v>25</v>
      </c>
      <c r="F30" s="39">
        <f>IFERROR(INDEX('드랍 구성 (개편)'!$V$75:$V$102,MATCH($A30,'드랍 구성 (개편)'!$B$75:$B$102,0)),"—")</f>
        <v>24</v>
      </c>
      <c r="G30" s="39">
        <f>IFERROR(INDEX('드랍 구성 (개편)'!$Z$5:$Z$32,MATCH($A30,'드랍 구성 (개편)'!$B$5:$B$32,0)),"—")</f>
        <v>14</v>
      </c>
      <c r="H30" s="38" t="str">
        <f>IFERROR(INDEX('드랍 구성 (개편)'!$Y$5:$Y$32,MATCH($A30,'드랍 구성 (개편)'!$B$5:$B$32,0)),"—")</f>
        <v>금괴</v>
      </c>
      <c r="I30" s="38" t="str">
        <f>IFERROR(INDEX('드랍 구성 (개편)'!$Y$33:$Y$60,MATCH($A30,'드랍 구성 (개편)'!$B$33:$B$60,0)),"—")</f>
        <v>금괴</v>
      </c>
      <c r="J30" s="38" t="str">
        <f>IFERROR(INDEX('드랍 구성 (개편)'!$Y$61:$Y$74,MATCH($A30,'드랍 구성 (개편)'!$B$61:$B$74,0)),"—")</f>
        <v>사파이어</v>
      </c>
      <c r="K30" s="38" t="str">
        <f>IFERROR(INDEX('드랍 구성 (개편)'!$Y$75:$Y$102,MATCH($A30,'드랍 구성 (개편)'!$B$75:$B$102,0)),"—")</f>
        <v>사파이어</v>
      </c>
      <c r="L30" s="46" t="str">
        <f>'허들 설계'!R14</f>
        <v/>
      </c>
    </row>
    <row r="31" spans="1:12" x14ac:dyDescent="0.3">
      <c r="A31" s="46" t="str">
        <f>'스테이지별 골드'!C15</f>
        <v>3-3</v>
      </c>
      <c r="B31" s="38" t="str">
        <f>'허들 설계'!F15</f>
        <v>평탄</v>
      </c>
      <c r="C31" s="39">
        <f>IFERROR(INDEX('드랍 구성 (개편)'!$V$5:$V$32,MATCH($A31,'드랍 구성 (개편)'!$B$5:$B$32,0)),"—")</f>
        <v>14</v>
      </c>
      <c r="D31" s="39">
        <f>IFERROR(INDEX('드랍 구성 (개편)'!$V$33:$V$60,MATCH($A31,'드랍 구성 (개편)'!$B$33:$B$60,0)),"—")</f>
        <v>17</v>
      </c>
      <c r="E31" s="39" t="str">
        <f>IFERROR(INDEX('드랍 구성 (개편)'!$V$61:$V$74,MATCH($A31,'드랍 구성 (개편)'!$B$61:$B$74,0)),"—")</f>
        <v>—</v>
      </c>
      <c r="F31" s="39">
        <f>IFERROR(INDEX('드랍 구성 (개편)'!$V$75:$V$102,MATCH($A31,'드랍 구성 (개편)'!$B$75:$B$102,0)),"—")</f>
        <v>25</v>
      </c>
      <c r="G31" s="39">
        <f>IFERROR(INDEX('드랍 구성 (개편)'!$Z$5:$Z$32,MATCH($A31,'드랍 구성 (개편)'!$B$5:$B$32,0)),"—")</f>
        <v>16</v>
      </c>
      <c r="H31" s="38" t="str">
        <f>IFERROR(INDEX('드랍 구성 (개편)'!$Y$5:$Y$32,MATCH($A31,'드랍 구성 (개편)'!$B$5:$B$32,0)),"—")</f>
        <v>금괴</v>
      </c>
      <c r="I31" s="38" t="str">
        <f>IFERROR(INDEX('드랍 구성 (개편)'!$Y$33:$Y$60,MATCH($A31,'드랍 구성 (개편)'!$B$33:$B$60,0)),"—")</f>
        <v>금괴</v>
      </c>
      <c r="J31" s="38" t="str">
        <f>IFERROR(INDEX('드랍 구성 (개편)'!$Y$61:$Y$74,MATCH($A31,'드랍 구성 (개편)'!$B$61:$B$74,0)),"—")</f>
        <v>—</v>
      </c>
      <c r="K31" s="38" t="str">
        <f>IFERROR(INDEX('드랍 구성 (개편)'!$Y$75:$Y$102,MATCH($A31,'드랍 구성 (개편)'!$B$75:$B$102,0)),"—")</f>
        <v>사파이어</v>
      </c>
      <c r="L31" s="46" t="str">
        <f>'허들 설계'!R15</f>
        <v/>
      </c>
    </row>
    <row r="32" spans="1:12" x14ac:dyDescent="0.3">
      <c r="A32" s="46" t="str">
        <f>'스테이지별 골드'!C16</f>
        <v>3-4</v>
      </c>
      <c r="B32" s="38" t="str">
        <f>'허들 설계'!F16</f>
        <v>대허들</v>
      </c>
      <c r="C32" s="39">
        <f>IFERROR(INDEX('드랍 구성 (개편)'!$V$5:$V$32,MATCH($A32,'드랍 구성 (개편)'!$B$5:$B$32,0)),"—")</f>
        <v>14</v>
      </c>
      <c r="D32" s="39">
        <f>IFERROR(INDEX('드랍 구성 (개편)'!$V$33:$V$60,MATCH($A32,'드랍 구성 (개편)'!$B$33:$B$60,0)),"—")</f>
        <v>17</v>
      </c>
      <c r="E32" s="39">
        <f>IFERROR(INDEX('드랍 구성 (개편)'!$V$61:$V$74,MATCH($A32,'드랍 구성 (개편)'!$B$61:$B$74,0)),"—")</f>
        <v>25</v>
      </c>
      <c r="F32" s="39">
        <f>IFERROR(INDEX('드랍 구성 (개편)'!$V$75:$V$102,MATCH($A32,'드랍 구성 (개편)'!$B$75:$B$102,0)),"—")</f>
        <v>25</v>
      </c>
      <c r="G32" s="39">
        <f>IFERROR(INDEX('드랍 구성 (개편)'!$Z$5:$Z$32,MATCH($A32,'드랍 구성 (개편)'!$B$5:$B$32,0)),"—")</f>
        <v>20</v>
      </c>
      <c r="H32" s="38" t="str">
        <f>IFERROR(INDEX('드랍 구성 (개편)'!$Y$5:$Y$32,MATCH($A32,'드랍 구성 (개편)'!$B$5:$B$32,0)),"—")</f>
        <v>금괴</v>
      </c>
      <c r="I32" s="38" t="str">
        <f>IFERROR(INDEX('드랍 구성 (개편)'!$Y$33:$Y$60,MATCH($A32,'드랍 구성 (개편)'!$B$33:$B$60,0)),"—")</f>
        <v>사파이어</v>
      </c>
      <c r="J32" s="38" t="str">
        <f>IFERROR(INDEX('드랍 구성 (개편)'!$Y$61:$Y$74,MATCH($A32,'드랍 구성 (개편)'!$B$61:$B$74,0)),"—")</f>
        <v>사파이어</v>
      </c>
      <c r="K32" s="38" t="str">
        <f>IFERROR(INDEX('드랍 구성 (개편)'!$Y$75:$Y$102,MATCH($A32,'드랍 구성 (개편)'!$B$75:$B$102,0)),"—")</f>
        <v>사파이어</v>
      </c>
      <c r="L32" s="46" t="str">
        <f>'허들 설계'!R16</f>
        <v>루비</v>
      </c>
    </row>
    <row r="33" spans="1:12" x14ac:dyDescent="0.3">
      <c r="A33" s="46" t="str">
        <f>'스테이지별 골드'!C17</f>
        <v>4-1</v>
      </c>
      <c r="B33" s="38" t="str">
        <f>'허들 설계'!F17</f>
        <v>돌파</v>
      </c>
      <c r="C33" s="39">
        <f>IFERROR(INDEX('드랍 구성 (개편)'!$V$5:$V$32,MATCH($A33,'드랍 구성 (개편)'!$B$5:$B$32,0)),"—")</f>
        <v>16</v>
      </c>
      <c r="D33" s="39">
        <f>IFERROR(INDEX('드랍 구성 (개편)'!$V$33:$V$60,MATCH($A33,'드랍 구성 (개편)'!$B$33:$B$60,0)),"—")</f>
        <v>19</v>
      </c>
      <c r="E33" s="39" t="str">
        <f>IFERROR(INDEX('드랍 구성 (개편)'!$V$61:$V$74,MATCH($A33,'드랍 구성 (개편)'!$B$61:$B$74,0)),"—")</f>
        <v>—</v>
      </c>
      <c r="F33" s="39">
        <f>IFERROR(INDEX('드랍 구성 (개편)'!$V$75:$V$102,MATCH($A33,'드랍 구성 (개편)'!$B$75:$B$102,0)),"—")</f>
        <v>27</v>
      </c>
      <c r="G33" s="39">
        <f>IFERROR(INDEX('드랍 구성 (개편)'!$Z$5:$Z$32,MATCH($A33,'드랍 구성 (개편)'!$B$5:$B$32,0)),"—")</f>
        <v>24</v>
      </c>
      <c r="H33" s="38" t="str">
        <f>IFERROR(INDEX('드랍 구성 (개편)'!$Y$5:$Y$32,MATCH($A33,'드랍 구성 (개편)'!$B$5:$B$32,0)),"—")</f>
        <v>금괴</v>
      </c>
      <c r="I33" s="38" t="str">
        <f>IFERROR(INDEX('드랍 구성 (개편)'!$Y$33:$Y$60,MATCH($A33,'드랍 구성 (개편)'!$B$33:$B$60,0)),"—")</f>
        <v>사파이어</v>
      </c>
      <c r="J33" s="38" t="str">
        <f>IFERROR(INDEX('드랍 구성 (개편)'!$Y$61:$Y$74,MATCH($A33,'드랍 구성 (개편)'!$B$61:$B$74,0)),"—")</f>
        <v>—</v>
      </c>
      <c r="K33" s="38" t="str">
        <f>IFERROR(INDEX('드랍 구성 (개편)'!$Y$75:$Y$102,MATCH($A33,'드랍 구성 (개편)'!$B$75:$B$102,0)),"—")</f>
        <v>사파이어</v>
      </c>
      <c r="L33" s="46" t="str">
        <f>'허들 설계'!R17</f>
        <v/>
      </c>
    </row>
    <row r="34" spans="1:12" x14ac:dyDescent="0.3">
      <c r="A34" s="46" t="str">
        <f>'스테이지별 골드'!C18</f>
        <v>4-2</v>
      </c>
      <c r="B34" s="38" t="str">
        <f>'허들 설계'!F18</f>
        <v>소허들</v>
      </c>
      <c r="C34" s="39">
        <f>IFERROR(INDEX('드랍 구성 (개편)'!$V$5:$V$32,MATCH($A34,'드랍 구성 (개편)'!$B$5:$B$32,0)),"—")</f>
        <v>16</v>
      </c>
      <c r="D34" s="39">
        <f>IFERROR(INDEX('드랍 구성 (개편)'!$V$33:$V$60,MATCH($A34,'드랍 구성 (개편)'!$B$33:$B$60,0)),"—")</f>
        <v>19</v>
      </c>
      <c r="E34" s="39">
        <f>IFERROR(INDEX('드랍 구성 (개편)'!$V$61:$V$74,MATCH($A34,'드랍 구성 (개편)'!$B$61:$B$74,0)),"—")</f>
        <v>27</v>
      </c>
      <c r="F34" s="39">
        <f>IFERROR(INDEX('드랍 구성 (개편)'!$V$75:$V$102,MATCH($A34,'드랍 구성 (개편)'!$B$75:$B$102,0)),"—")</f>
        <v>28</v>
      </c>
      <c r="G34" s="39">
        <f>IFERROR(INDEX('드랍 구성 (개편)'!$Z$5:$Z$32,MATCH($A34,'드랍 구성 (개편)'!$B$5:$B$32,0)),"—")</f>
        <v>6</v>
      </c>
      <c r="H34" s="38" t="str">
        <f>IFERROR(INDEX('드랍 구성 (개편)'!$Y$5:$Y$32,MATCH($A34,'드랍 구성 (개편)'!$B$5:$B$32,0)),"—")</f>
        <v>사파이어</v>
      </c>
      <c r="I34" s="38" t="str">
        <f>IFERROR(INDEX('드랍 구성 (개편)'!$Y$33:$Y$60,MATCH($A34,'드랍 구성 (개편)'!$B$33:$B$60,0)),"—")</f>
        <v>사파이어</v>
      </c>
      <c r="J34" s="38" t="str">
        <f>IFERROR(INDEX('드랍 구성 (개편)'!$Y$61:$Y$74,MATCH($A34,'드랍 구성 (개편)'!$B$61:$B$74,0)),"—")</f>
        <v>루비</v>
      </c>
      <c r="K34" s="38" t="str">
        <f>IFERROR(INDEX('드랍 구성 (개편)'!$Y$75:$Y$102,MATCH($A34,'드랍 구성 (개편)'!$B$75:$B$102,0)),"—")</f>
        <v>사파이어</v>
      </c>
      <c r="L34" s="46" t="str">
        <f>'허들 설계'!R18</f>
        <v/>
      </c>
    </row>
    <row r="35" spans="1:12" x14ac:dyDescent="0.3">
      <c r="A35" s="46" t="str">
        <f>'스테이지별 골드'!C19</f>
        <v>4-3</v>
      </c>
      <c r="B35" s="38" t="str">
        <f>'허들 설계'!F19</f>
        <v>평탄</v>
      </c>
      <c r="C35" s="39">
        <f>IFERROR(INDEX('드랍 구성 (개편)'!$V$5:$V$32,MATCH($A35,'드랍 구성 (개편)'!$B$5:$B$32,0)),"—")</f>
        <v>16</v>
      </c>
      <c r="D35" s="39">
        <f>IFERROR(INDEX('드랍 구성 (개편)'!$V$33:$V$60,MATCH($A35,'드랍 구성 (개편)'!$B$33:$B$60,0)),"—")</f>
        <v>19</v>
      </c>
      <c r="E35" s="39" t="str">
        <f>IFERROR(INDEX('드랍 구성 (개편)'!$V$61:$V$74,MATCH($A35,'드랍 구성 (개편)'!$B$61:$B$74,0)),"—")</f>
        <v>—</v>
      </c>
      <c r="F35" s="39">
        <f>IFERROR(INDEX('드랍 구성 (개편)'!$V$75:$V$102,MATCH($A35,'드랍 구성 (개편)'!$B$75:$B$102,0)),"—")</f>
        <v>28</v>
      </c>
      <c r="G35" s="39">
        <f>IFERROR(INDEX('드랍 구성 (개편)'!$Z$5:$Z$32,MATCH($A35,'드랍 구성 (개편)'!$B$5:$B$32,0)),"—")</f>
        <v>8</v>
      </c>
      <c r="H35" s="38" t="str">
        <f>IFERROR(INDEX('드랍 구성 (개편)'!$Y$5:$Y$32,MATCH($A35,'드랍 구성 (개편)'!$B$5:$B$32,0)),"—")</f>
        <v>사파이어</v>
      </c>
      <c r="I35" s="38" t="str">
        <f>IFERROR(INDEX('드랍 구성 (개편)'!$Y$33:$Y$60,MATCH($A35,'드랍 구성 (개편)'!$B$33:$B$60,0)),"—")</f>
        <v>사파이어</v>
      </c>
      <c r="J35" s="38" t="str">
        <f>IFERROR(INDEX('드랍 구성 (개편)'!$Y$61:$Y$74,MATCH($A35,'드랍 구성 (개편)'!$B$61:$B$74,0)),"—")</f>
        <v>—</v>
      </c>
      <c r="K35" s="38" t="str">
        <f>IFERROR(INDEX('드랍 구성 (개편)'!$Y$75:$Y$102,MATCH($A35,'드랍 구성 (개편)'!$B$75:$B$102,0)),"—")</f>
        <v>사파이어</v>
      </c>
      <c r="L35" s="46" t="str">
        <f>'허들 설계'!R19</f>
        <v/>
      </c>
    </row>
    <row r="36" spans="1:12" x14ac:dyDescent="0.3">
      <c r="A36" s="46" t="str">
        <f>'스테이지별 골드'!C20</f>
        <v>4-4</v>
      </c>
      <c r="B36" s="38" t="str">
        <f>'허들 설계'!F20</f>
        <v>대허들</v>
      </c>
      <c r="C36" s="39">
        <f>IFERROR(INDEX('드랍 구성 (개편)'!$V$5:$V$32,MATCH($A36,'드랍 구성 (개편)'!$B$5:$B$32,0)),"—")</f>
        <v>16</v>
      </c>
      <c r="D36" s="39">
        <f>IFERROR(INDEX('드랍 구성 (개편)'!$V$33:$V$60,MATCH($A36,'드랍 구성 (개편)'!$B$33:$B$60,0)),"—")</f>
        <v>20</v>
      </c>
      <c r="E36" s="39">
        <f>IFERROR(INDEX('드랍 구성 (개편)'!$V$61:$V$74,MATCH($A36,'드랍 구성 (개편)'!$B$61:$B$74,0)),"—")</f>
        <v>28</v>
      </c>
      <c r="F36" s="39">
        <f>IFERROR(INDEX('드랍 구성 (개편)'!$V$75:$V$102,MATCH($A36,'드랍 구성 (개편)'!$B$75:$B$102,0)),"—")</f>
        <v>29</v>
      </c>
      <c r="G36" s="39">
        <f>IFERROR(INDEX('드랍 구성 (개편)'!$Z$5:$Z$32,MATCH($A36,'드랍 구성 (개편)'!$B$5:$B$32,0)),"—")</f>
        <v>9</v>
      </c>
      <c r="H36" s="38" t="str">
        <f>IFERROR(INDEX('드랍 구성 (개편)'!$Y$5:$Y$32,MATCH($A36,'드랍 구성 (개편)'!$B$5:$B$32,0)),"—")</f>
        <v>사파이어</v>
      </c>
      <c r="I36" s="38" t="str">
        <f>IFERROR(INDEX('드랍 구성 (개편)'!$Y$33:$Y$60,MATCH($A36,'드랍 구성 (개편)'!$B$33:$B$60,0)),"—")</f>
        <v>사파이어</v>
      </c>
      <c r="J36" s="38" t="str">
        <f>IFERROR(INDEX('드랍 구성 (개편)'!$Y$61:$Y$74,MATCH($A36,'드랍 구성 (개편)'!$B$61:$B$74,0)),"—")</f>
        <v>루비</v>
      </c>
      <c r="K36" s="38" t="str">
        <f>IFERROR(INDEX('드랍 구성 (개편)'!$Y$75:$Y$102,MATCH($A36,'드랍 구성 (개편)'!$B$75:$B$102,0)),"—")</f>
        <v>사파이어</v>
      </c>
      <c r="L36" s="46" t="str">
        <f>'허들 설계'!R20</f>
        <v/>
      </c>
    </row>
    <row r="37" spans="1:12" x14ac:dyDescent="0.3">
      <c r="A37" s="46" t="str">
        <f>'스테이지별 골드'!C21</f>
        <v>5-1</v>
      </c>
      <c r="B37" s="38" t="str">
        <f>'허들 설계'!F21</f>
        <v>돌파</v>
      </c>
      <c r="C37" s="39">
        <f>IFERROR(INDEX('드랍 구성 (개편)'!$V$5:$V$32,MATCH($A37,'드랍 구성 (개편)'!$B$5:$B$32,0)),"—")</f>
        <v>18</v>
      </c>
      <c r="D37" s="39">
        <f>IFERROR(INDEX('드랍 구성 (개편)'!$V$33:$V$60,MATCH($A37,'드랍 구성 (개편)'!$B$33:$B$60,0)),"—")</f>
        <v>22</v>
      </c>
      <c r="E37" s="39" t="str">
        <f>IFERROR(INDEX('드랍 구성 (개편)'!$V$61:$V$74,MATCH($A37,'드랍 구성 (개편)'!$B$61:$B$74,0)),"—")</f>
        <v>—</v>
      </c>
      <c r="F37" s="39">
        <f>IFERROR(INDEX('드랍 구성 (개편)'!$V$75:$V$102,MATCH($A37,'드랍 구성 (개편)'!$B$75:$B$102,0)),"—")</f>
        <v>31</v>
      </c>
      <c r="G37" s="39">
        <f>IFERROR(INDEX('드랍 구성 (개편)'!$Z$5:$Z$32,MATCH($A37,'드랍 구성 (개편)'!$B$5:$B$32,0)),"—")</f>
        <v>14</v>
      </c>
      <c r="H37" s="38" t="str">
        <f>IFERROR(INDEX('드랍 구성 (개편)'!$Y$5:$Y$32,MATCH($A37,'드랍 구성 (개편)'!$B$5:$B$32,0)),"—")</f>
        <v>사파이어</v>
      </c>
      <c r="I37" s="38" t="str">
        <f>IFERROR(INDEX('드랍 구성 (개편)'!$Y$33:$Y$60,MATCH($A37,'드랍 구성 (개편)'!$B$33:$B$60,0)),"—")</f>
        <v>사파이어</v>
      </c>
      <c r="J37" s="38" t="str">
        <f>IFERROR(INDEX('드랍 구성 (개편)'!$Y$61:$Y$74,MATCH($A37,'드랍 구성 (개편)'!$B$61:$B$74,0)),"—")</f>
        <v>—</v>
      </c>
      <c r="K37" s="38" t="str">
        <f>IFERROR(INDEX('드랍 구성 (개편)'!$Y$75:$Y$102,MATCH($A37,'드랍 구성 (개편)'!$B$75:$B$102,0)),"—")</f>
        <v>사파이어</v>
      </c>
      <c r="L37" s="46" t="str">
        <f>'허들 설계'!R21</f>
        <v/>
      </c>
    </row>
    <row r="38" spans="1:12" x14ac:dyDescent="0.3">
      <c r="A38" s="46" t="str">
        <f>'스테이지별 골드'!C22</f>
        <v>5-2</v>
      </c>
      <c r="B38" s="38" t="str">
        <f>'허들 설계'!F22</f>
        <v>소허들</v>
      </c>
      <c r="C38" s="39">
        <f>IFERROR(INDEX('드랍 구성 (개편)'!$V$5:$V$32,MATCH($A38,'드랍 구성 (개편)'!$B$5:$B$32,0)),"—")</f>
        <v>18</v>
      </c>
      <c r="D38" s="39">
        <f>IFERROR(INDEX('드랍 구성 (개편)'!$V$33:$V$60,MATCH($A38,'드랍 구성 (개편)'!$B$33:$B$60,0)),"—")</f>
        <v>22</v>
      </c>
      <c r="E38" s="39">
        <f>IFERROR(INDEX('드랍 구성 (개편)'!$V$61:$V$74,MATCH($A38,'드랍 구성 (개편)'!$B$61:$B$74,0)),"—")</f>
        <v>30</v>
      </c>
      <c r="F38" s="39">
        <f>IFERROR(INDEX('드랍 구성 (개편)'!$V$75:$V$102,MATCH($A38,'드랍 구성 (개편)'!$B$75:$B$102,0)),"—")</f>
        <v>32</v>
      </c>
      <c r="G38" s="39">
        <f>IFERROR(INDEX('드랍 구성 (개편)'!$Z$5:$Z$32,MATCH($A38,'드랍 구성 (개편)'!$B$5:$B$32,0)),"—")</f>
        <v>16</v>
      </c>
      <c r="H38" s="38" t="str">
        <f>IFERROR(INDEX('드랍 구성 (개편)'!$Y$5:$Y$32,MATCH($A38,'드랍 구성 (개편)'!$B$5:$B$32,0)),"—")</f>
        <v>사파이어</v>
      </c>
      <c r="I38" s="38" t="str">
        <f>IFERROR(INDEX('드랍 구성 (개편)'!$Y$33:$Y$60,MATCH($A38,'드랍 구성 (개편)'!$B$33:$B$60,0)),"—")</f>
        <v>사파이어</v>
      </c>
      <c r="J38" s="38" t="str">
        <f>IFERROR(INDEX('드랍 구성 (개편)'!$Y$61:$Y$74,MATCH($A38,'드랍 구성 (개편)'!$B$61:$B$74,0)),"—")</f>
        <v>루비</v>
      </c>
      <c r="K38" s="38" t="str">
        <f>IFERROR(INDEX('드랍 구성 (개편)'!$Y$75:$Y$102,MATCH($A38,'드랍 구성 (개편)'!$B$75:$B$102,0)),"—")</f>
        <v>루비</v>
      </c>
      <c r="L38" s="46" t="str">
        <f>'허들 설계'!R22</f>
        <v/>
      </c>
    </row>
    <row r="39" spans="1:12" x14ac:dyDescent="0.3">
      <c r="A39" s="46" t="str">
        <f>'스테이지별 골드'!C23</f>
        <v>5-3</v>
      </c>
      <c r="B39" s="38" t="str">
        <f>'허들 설계'!F23</f>
        <v>평탄</v>
      </c>
      <c r="C39" s="39">
        <f>IFERROR(INDEX('드랍 구성 (개편)'!$V$5:$V$32,MATCH($A39,'드랍 구성 (개편)'!$B$5:$B$32,0)),"—")</f>
        <v>19</v>
      </c>
      <c r="D39" s="39">
        <f>IFERROR(INDEX('드랍 구성 (개편)'!$V$33:$V$60,MATCH($A39,'드랍 구성 (개편)'!$B$33:$B$60,0)),"—")</f>
        <v>22</v>
      </c>
      <c r="E39" s="39" t="str">
        <f>IFERROR(INDEX('드랍 구성 (개편)'!$V$61:$V$74,MATCH($A39,'드랍 구성 (개편)'!$B$61:$B$74,0)),"—")</f>
        <v>—</v>
      </c>
      <c r="F39" s="39">
        <f>IFERROR(INDEX('드랍 구성 (개편)'!$V$75:$V$102,MATCH($A39,'드랍 구성 (개편)'!$B$75:$B$102,0)),"—")</f>
        <v>32</v>
      </c>
      <c r="G39" s="39">
        <f>IFERROR(INDEX('드랍 구성 (개편)'!$Z$5:$Z$32,MATCH($A39,'드랍 구성 (개편)'!$B$5:$B$32,0)),"—")</f>
        <v>18</v>
      </c>
      <c r="H39" s="38" t="str">
        <f>IFERROR(INDEX('드랍 구성 (개편)'!$Y$5:$Y$32,MATCH($A39,'드랍 구성 (개편)'!$B$5:$B$32,0)),"—")</f>
        <v>사파이어</v>
      </c>
      <c r="I39" s="38" t="str">
        <f>IFERROR(INDEX('드랍 구성 (개편)'!$Y$33:$Y$60,MATCH($A39,'드랍 구성 (개편)'!$B$33:$B$60,0)),"—")</f>
        <v>사파이어</v>
      </c>
      <c r="J39" s="38" t="str">
        <f>IFERROR(INDEX('드랍 구성 (개편)'!$Y$61:$Y$74,MATCH($A39,'드랍 구성 (개편)'!$B$61:$B$74,0)),"—")</f>
        <v>—</v>
      </c>
      <c r="K39" s="38" t="str">
        <f>IFERROR(INDEX('드랍 구성 (개편)'!$Y$75:$Y$102,MATCH($A39,'드랍 구성 (개편)'!$B$75:$B$102,0)),"—")</f>
        <v>루비</v>
      </c>
      <c r="L39" s="46" t="str">
        <f>'허들 설계'!R23</f>
        <v/>
      </c>
    </row>
    <row r="40" spans="1:12" x14ac:dyDescent="0.3">
      <c r="A40" s="46" t="str">
        <f>'스테이지별 골드'!C24</f>
        <v>5-4</v>
      </c>
      <c r="B40" s="38" t="str">
        <f>'허들 설계'!F24</f>
        <v>대허들</v>
      </c>
      <c r="C40" s="39">
        <f>IFERROR(INDEX('드랍 구성 (개편)'!$V$5:$V$32,MATCH($A40,'드랍 구성 (개편)'!$B$5:$B$32,0)),"—")</f>
        <v>19</v>
      </c>
      <c r="D40" s="39">
        <f>IFERROR(INDEX('드랍 구성 (개편)'!$V$33:$V$60,MATCH($A40,'드랍 구성 (개편)'!$B$33:$B$60,0)),"—")</f>
        <v>23</v>
      </c>
      <c r="E40" s="39">
        <f>IFERROR(INDEX('드랍 구성 (개편)'!$V$61:$V$74,MATCH($A40,'드랍 구성 (개편)'!$B$61:$B$74,0)),"—")</f>
        <v>30</v>
      </c>
      <c r="F40" s="39">
        <f>IFERROR(INDEX('드랍 구성 (개편)'!$V$75:$V$102,MATCH($A40,'드랍 구성 (개편)'!$B$75:$B$102,0)),"—")</f>
        <v>33</v>
      </c>
      <c r="G40" s="39">
        <f>IFERROR(INDEX('드랍 구성 (개편)'!$Z$5:$Z$32,MATCH($A40,'드랍 구성 (개편)'!$B$5:$B$32,0)),"—")</f>
        <v>7</v>
      </c>
      <c r="H40" s="38" t="str">
        <f>IFERROR(INDEX('드랍 구성 (개편)'!$Y$5:$Y$32,MATCH($A40,'드랍 구성 (개편)'!$B$5:$B$32,0)),"—")</f>
        <v>사파이어</v>
      </c>
      <c r="I40" s="38" t="str">
        <f>IFERROR(INDEX('드랍 구성 (개편)'!$Y$33:$Y$60,MATCH($A40,'드랍 구성 (개편)'!$B$33:$B$60,0)),"—")</f>
        <v>사파이어</v>
      </c>
      <c r="J40" s="38" t="str">
        <f>IFERROR(INDEX('드랍 구성 (개편)'!$Y$61:$Y$74,MATCH($A40,'드랍 구성 (개편)'!$B$61:$B$74,0)),"—")</f>
        <v>루비</v>
      </c>
      <c r="K40" s="38" t="str">
        <f>IFERROR(INDEX('드랍 구성 (개편)'!$Y$75:$Y$102,MATCH($A40,'드랍 구성 (개편)'!$B$75:$B$102,0)),"—")</f>
        <v>루비</v>
      </c>
      <c r="L40" s="46" t="str">
        <f>'허들 설계'!R24</f>
        <v>다이아몬드</v>
      </c>
    </row>
    <row r="41" spans="1:12" x14ac:dyDescent="0.3">
      <c r="A41" s="46" t="str">
        <f>'스테이지별 골드'!C25</f>
        <v>6-1</v>
      </c>
      <c r="B41" s="38" t="str">
        <f>'허들 설계'!F25</f>
        <v>돌파</v>
      </c>
      <c r="C41" s="39">
        <f>IFERROR(INDEX('드랍 구성 (개편)'!$V$5:$V$32,MATCH($A41,'드랍 구성 (개편)'!$B$5:$B$32,0)),"—")</f>
        <v>21</v>
      </c>
      <c r="D41" s="39">
        <f>IFERROR(INDEX('드랍 구성 (개편)'!$V$33:$V$60,MATCH($A41,'드랍 구성 (개편)'!$B$33:$B$60,0)),"—")</f>
        <v>25</v>
      </c>
      <c r="E41" s="39" t="str">
        <f>IFERROR(INDEX('드랍 구성 (개편)'!$V$61:$V$74,MATCH($A41,'드랍 구성 (개편)'!$B$61:$B$74,0)),"—")</f>
        <v>—</v>
      </c>
      <c r="F41" s="39">
        <f>IFERROR(INDEX('드랍 구성 (개편)'!$V$75:$V$102,MATCH($A41,'드랍 구성 (개편)'!$B$75:$B$102,0)),"—")</f>
        <v>36</v>
      </c>
      <c r="G41" s="39">
        <f>IFERROR(INDEX('드랍 구성 (개편)'!$Z$5:$Z$32,MATCH($A41,'드랍 구성 (개편)'!$B$5:$B$32,0)),"—")</f>
        <v>10</v>
      </c>
      <c r="H41" s="38" t="str">
        <f>IFERROR(INDEX('드랍 구성 (개편)'!$Y$5:$Y$32,MATCH($A41,'드랍 구성 (개편)'!$B$5:$B$32,0)),"—")</f>
        <v>사파이어</v>
      </c>
      <c r="I41" s="38" t="str">
        <f>IFERROR(INDEX('드랍 구성 (개편)'!$Y$33:$Y$60,MATCH($A41,'드랍 구성 (개편)'!$B$33:$B$60,0)),"—")</f>
        <v>루비</v>
      </c>
      <c r="J41" s="38" t="str">
        <f>IFERROR(INDEX('드랍 구성 (개편)'!$Y$61:$Y$74,MATCH($A41,'드랍 구성 (개편)'!$B$61:$B$74,0)),"—")</f>
        <v>—</v>
      </c>
      <c r="K41" s="38" t="str">
        <f>IFERROR(INDEX('드랍 구성 (개편)'!$Y$75:$Y$102,MATCH($A41,'드랍 구성 (개편)'!$B$75:$B$102,0)),"—")</f>
        <v>루비</v>
      </c>
      <c r="L41" s="46" t="str">
        <f>'허들 설계'!R25</f>
        <v/>
      </c>
    </row>
    <row r="42" spans="1:12" x14ac:dyDescent="0.3">
      <c r="A42" s="46" t="str">
        <f>'스테이지별 골드'!C26</f>
        <v>6-2</v>
      </c>
      <c r="B42" s="38" t="str">
        <f>'허들 설계'!F26</f>
        <v>소허들</v>
      </c>
      <c r="C42" s="39">
        <f>IFERROR(INDEX('드랍 구성 (개편)'!$V$5:$V$32,MATCH($A42,'드랍 구성 (개편)'!$B$5:$B$32,0)),"—")</f>
        <v>21</v>
      </c>
      <c r="D42" s="39">
        <f>IFERROR(INDEX('드랍 구성 (개편)'!$V$33:$V$60,MATCH($A42,'드랍 구성 (개편)'!$B$33:$B$60,0)),"—")</f>
        <v>26</v>
      </c>
      <c r="E42" s="39">
        <f>IFERROR(INDEX('드랍 구성 (개편)'!$V$61:$V$74,MATCH($A42,'드랍 구성 (개편)'!$B$61:$B$74,0)),"—")</f>
        <v>33</v>
      </c>
      <c r="F42" s="39">
        <f>IFERROR(INDEX('드랍 구성 (개편)'!$V$75:$V$102,MATCH($A42,'드랍 구성 (개편)'!$B$75:$B$102,0)),"—")</f>
        <v>37</v>
      </c>
      <c r="G42" s="39">
        <f>IFERROR(INDEX('드랍 구성 (개편)'!$Z$5:$Z$32,MATCH($A42,'드랍 구성 (개편)'!$B$5:$B$32,0)),"—")</f>
        <v>13</v>
      </c>
      <c r="H42" s="38" t="str">
        <f>IFERROR(INDEX('드랍 구성 (개편)'!$Y$5:$Y$32,MATCH($A42,'드랍 구성 (개편)'!$B$5:$B$32,0)),"—")</f>
        <v>사파이어</v>
      </c>
      <c r="I42" s="38" t="str">
        <f>IFERROR(INDEX('드랍 구성 (개편)'!$Y$33:$Y$60,MATCH($A42,'드랍 구성 (개편)'!$B$33:$B$60,0)),"—")</f>
        <v>루비</v>
      </c>
      <c r="J42" s="38" t="str">
        <f>IFERROR(INDEX('드랍 구성 (개편)'!$Y$61:$Y$74,MATCH($A42,'드랍 구성 (개편)'!$B$61:$B$74,0)),"—")</f>
        <v>다이아몬드</v>
      </c>
      <c r="K42" s="38" t="str">
        <f>IFERROR(INDEX('드랍 구성 (개편)'!$Y$75:$Y$102,MATCH($A42,'드랍 구성 (개편)'!$B$75:$B$102,0)),"—")</f>
        <v>루비</v>
      </c>
      <c r="L42" s="46" t="str">
        <f>'허들 설계'!R26</f>
        <v/>
      </c>
    </row>
    <row r="43" spans="1:12" x14ac:dyDescent="0.3">
      <c r="A43" s="46" t="str">
        <f>'스테이지별 골드'!C27</f>
        <v>6-3</v>
      </c>
      <c r="B43" s="38" t="str">
        <f>'허들 설계'!F27</f>
        <v>평탄</v>
      </c>
      <c r="C43" s="39">
        <f>IFERROR(INDEX('드랍 구성 (개편)'!$V$5:$V$32,MATCH($A43,'드랍 구성 (개편)'!$B$5:$B$32,0)),"—")</f>
        <v>22</v>
      </c>
      <c r="D43" s="39">
        <f>IFERROR(INDEX('드랍 구성 (개편)'!$V$33:$V$60,MATCH($A43,'드랍 구성 (개편)'!$B$33:$B$60,0)),"—")</f>
        <v>26</v>
      </c>
      <c r="E43" s="39" t="str">
        <f>IFERROR(INDEX('드랍 구성 (개편)'!$V$61:$V$74,MATCH($A43,'드랍 구성 (개편)'!$B$61:$B$74,0)),"—")</f>
        <v>—</v>
      </c>
      <c r="F43" s="39">
        <f>IFERROR(INDEX('드랍 구성 (개편)'!$V$75:$V$102,MATCH($A43,'드랍 구성 (개편)'!$B$75:$B$102,0)),"—")</f>
        <v>37</v>
      </c>
      <c r="G43" s="39">
        <f>IFERROR(INDEX('드랍 구성 (개편)'!$Z$5:$Z$32,MATCH($A43,'드랍 구성 (개편)'!$B$5:$B$32,0)),"—")</f>
        <v>11</v>
      </c>
      <c r="H43" s="38" t="str">
        <f>IFERROR(INDEX('드랍 구성 (개편)'!$Y$5:$Y$32,MATCH($A43,'드랍 구성 (개편)'!$B$5:$B$32,0)),"—")</f>
        <v>루비</v>
      </c>
      <c r="I43" s="38" t="str">
        <f>IFERROR(INDEX('드랍 구성 (개편)'!$Y$33:$Y$60,MATCH($A43,'드랍 구성 (개편)'!$B$33:$B$60,0)),"—")</f>
        <v>루비</v>
      </c>
      <c r="J43" s="38" t="str">
        <f>IFERROR(INDEX('드랍 구성 (개편)'!$Y$61:$Y$74,MATCH($A43,'드랍 구성 (개편)'!$B$61:$B$74,0)),"—")</f>
        <v>—</v>
      </c>
      <c r="K43" s="38" t="str">
        <f>IFERROR(INDEX('드랍 구성 (개편)'!$Y$75:$Y$102,MATCH($A43,'드랍 구성 (개편)'!$B$75:$B$102,0)),"—")</f>
        <v>루비</v>
      </c>
      <c r="L43" s="46" t="str">
        <f>'허들 설계'!R27</f>
        <v/>
      </c>
    </row>
    <row r="44" spans="1:12" x14ac:dyDescent="0.3">
      <c r="A44" s="46" t="str">
        <f>'스테이지별 골드'!C28</f>
        <v>6-4</v>
      </c>
      <c r="B44" s="38" t="str">
        <f>'허들 설계'!F28</f>
        <v>대허들</v>
      </c>
      <c r="C44" s="39">
        <f>IFERROR(INDEX('드랍 구성 (개편)'!$V$5:$V$32,MATCH($A44,'드랍 구성 (개편)'!$B$5:$B$32,0)),"—")</f>
        <v>22</v>
      </c>
      <c r="D44" s="39">
        <f>IFERROR(INDEX('드랍 구성 (개편)'!$V$33:$V$60,MATCH($A44,'드랍 구성 (개편)'!$B$33:$B$60,0)),"—")</f>
        <v>27</v>
      </c>
      <c r="E44" s="39">
        <f>IFERROR(INDEX('드랍 구성 (개편)'!$V$61:$V$74,MATCH($A44,'드랍 구성 (개편)'!$B$61:$B$74,0)),"—")</f>
        <v>34</v>
      </c>
      <c r="F44" s="39">
        <f>IFERROR(INDEX('드랍 구성 (개편)'!$V$75:$V$102,MATCH($A44,'드랍 구성 (개편)'!$B$75:$B$102,0)),"—")</f>
        <v>38</v>
      </c>
      <c r="G44" s="39">
        <f>IFERROR(INDEX('드랍 구성 (개편)'!$Z$5:$Z$32,MATCH($A44,'드랍 구성 (개편)'!$B$5:$B$32,0)),"—")</f>
        <v>15</v>
      </c>
      <c r="H44" s="38" t="str">
        <f>IFERROR(INDEX('드랍 구성 (개편)'!$Y$5:$Y$32,MATCH($A44,'드랍 구성 (개편)'!$B$5:$B$32,0)),"—")</f>
        <v>루비</v>
      </c>
      <c r="I44" s="38" t="str">
        <f>IFERROR(INDEX('드랍 구성 (개편)'!$Y$33:$Y$60,MATCH($A44,'드랍 구성 (개편)'!$B$33:$B$60,0)),"—")</f>
        <v>루비</v>
      </c>
      <c r="J44" s="38" t="str">
        <f>IFERROR(INDEX('드랍 구성 (개편)'!$Y$61:$Y$74,MATCH($A44,'드랍 구성 (개편)'!$B$61:$B$74,0)),"—")</f>
        <v>다이아몬드</v>
      </c>
      <c r="K44" s="38" t="str">
        <f>IFERROR(INDEX('드랍 구성 (개편)'!$Y$75:$Y$102,MATCH($A44,'드랍 구성 (개편)'!$B$75:$B$102,0)),"—")</f>
        <v>루비</v>
      </c>
      <c r="L44" s="46" t="str">
        <f>'허들 설계'!R28</f>
        <v/>
      </c>
    </row>
    <row r="45" spans="1:12" x14ac:dyDescent="0.3">
      <c r="A45" s="46" t="str">
        <f>'스테이지별 골드'!C29</f>
        <v>7-1</v>
      </c>
      <c r="B45" s="38" t="str">
        <f>'허들 설계'!F29</f>
        <v>돌파</v>
      </c>
      <c r="C45" s="39">
        <f>IFERROR(INDEX('드랍 구성 (개편)'!$V$5:$V$32,MATCH($A45,'드랍 구성 (개편)'!$B$5:$B$32,0)),"—")</f>
        <v>24</v>
      </c>
      <c r="D45" s="39">
        <f>IFERROR(INDEX('드랍 구성 (개편)'!$V$33:$V$60,MATCH($A45,'드랍 구성 (개편)'!$B$33:$B$60,0)),"—")</f>
        <v>29</v>
      </c>
      <c r="E45" s="39" t="str">
        <f>IFERROR(INDEX('드랍 구성 (개편)'!$V$61:$V$74,MATCH($A45,'드랍 구성 (개편)'!$B$61:$B$74,0)),"—")</f>
        <v>—</v>
      </c>
      <c r="F45" s="39">
        <f>IFERROR(INDEX('드랍 구성 (개편)'!$V$75:$V$102,MATCH($A45,'드랍 구성 (개편)'!$B$75:$B$102,0)),"—")</f>
        <v>41</v>
      </c>
      <c r="G45" s="39">
        <f>IFERROR(INDEX('드랍 구성 (개편)'!$Z$5:$Z$32,MATCH($A45,'드랍 구성 (개편)'!$B$5:$B$32,0)),"—")</f>
        <v>14</v>
      </c>
      <c r="H45" s="38" t="str">
        <f>IFERROR(INDEX('드랍 구성 (개편)'!$Y$5:$Y$32,MATCH($A45,'드랍 구성 (개편)'!$B$5:$B$32,0)),"—")</f>
        <v>루비</v>
      </c>
      <c r="I45" s="38" t="str">
        <f>IFERROR(INDEX('드랍 구성 (개편)'!$Y$33:$Y$60,MATCH($A45,'드랍 구성 (개편)'!$B$33:$B$60,0)),"—")</f>
        <v>루비</v>
      </c>
      <c r="J45" s="38" t="str">
        <f>IFERROR(INDEX('드랍 구성 (개편)'!$Y$61:$Y$74,MATCH($A45,'드랍 구성 (개편)'!$B$61:$B$74,0)),"—")</f>
        <v>—</v>
      </c>
      <c r="K45" s="38" t="str">
        <f>IFERROR(INDEX('드랍 구성 (개편)'!$Y$75:$Y$102,MATCH($A45,'드랍 구성 (개편)'!$B$75:$B$102,0)),"—")</f>
        <v>루비</v>
      </c>
      <c r="L45" s="46" t="str">
        <f>'허들 설계'!R29</f>
        <v/>
      </c>
    </row>
    <row r="46" spans="1:12" x14ac:dyDescent="0.3">
      <c r="A46" s="46" t="str">
        <f>'스테이지별 골드'!C30</f>
        <v>7-2</v>
      </c>
      <c r="B46" s="38" t="str">
        <f>'허들 설계'!F30</f>
        <v>소허들</v>
      </c>
      <c r="C46" s="39">
        <f>IFERROR(INDEX('드랍 구성 (개편)'!$V$5:$V$32,MATCH($A46,'드랍 구성 (개편)'!$B$5:$B$32,0)),"—")</f>
        <v>25</v>
      </c>
      <c r="D46" s="39">
        <f>IFERROR(INDEX('드랍 구성 (개편)'!$V$33:$V$60,MATCH($A46,'드랍 구성 (개편)'!$B$33:$B$60,0)),"—")</f>
        <v>30</v>
      </c>
      <c r="E46" s="39">
        <f>IFERROR(INDEX('드랍 구성 (개편)'!$V$61:$V$74,MATCH($A46,'드랍 구성 (개편)'!$B$61:$B$74,0)),"—")</f>
        <v>36</v>
      </c>
      <c r="F46" s="39">
        <f>IFERROR(INDEX('드랍 구성 (개편)'!$V$75:$V$102,MATCH($A46,'드랍 구성 (개편)'!$B$75:$B$102,0)),"—")</f>
        <v>42</v>
      </c>
      <c r="G46" s="39">
        <f>IFERROR(INDEX('드랍 구성 (개편)'!$Z$5:$Z$32,MATCH($A46,'드랍 구성 (개편)'!$B$5:$B$32,0)),"—")</f>
        <v>19</v>
      </c>
      <c r="H46" s="38" t="str">
        <f>IFERROR(INDEX('드랍 구성 (개편)'!$Y$5:$Y$32,MATCH($A46,'드랍 구성 (개편)'!$B$5:$B$32,0)),"—")</f>
        <v>루비</v>
      </c>
      <c r="I46" s="38" t="str">
        <f>IFERROR(INDEX('드랍 구성 (개편)'!$Y$33:$Y$60,MATCH($A46,'드랍 구성 (개편)'!$B$33:$B$60,0)),"—")</f>
        <v>루비</v>
      </c>
      <c r="J46" s="38" t="str">
        <f>IFERROR(INDEX('드랍 구성 (개편)'!$Y$61:$Y$74,MATCH($A46,'드랍 구성 (개편)'!$B$61:$B$74,0)),"—")</f>
        <v>다이아몬드</v>
      </c>
      <c r="K46" s="38" t="str">
        <f>IFERROR(INDEX('드랍 구성 (개편)'!$Y$75:$Y$102,MATCH($A46,'드랍 구성 (개편)'!$B$75:$B$102,0)),"—")</f>
        <v>다이아몬드</v>
      </c>
      <c r="L46" s="46" t="str">
        <f>'허들 설계'!R30</f>
        <v/>
      </c>
    </row>
    <row r="47" spans="1:12" x14ac:dyDescent="0.3">
      <c r="A47" s="46" t="str">
        <f>'스테이지별 골드'!C31</f>
        <v>7-3</v>
      </c>
      <c r="B47" s="38" t="str">
        <f>'허들 설계'!F31</f>
        <v>평탄</v>
      </c>
      <c r="C47" s="39">
        <f>IFERROR(INDEX('드랍 구성 (개편)'!$V$5:$V$32,MATCH($A47,'드랍 구성 (개편)'!$B$5:$B$32,0)),"—")</f>
        <v>25</v>
      </c>
      <c r="D47" s="39">
        <f>IFERROR(INDEX('드랍 구성 (개편)'!$V$33:$V$60,MATCH($A47,'드랍 구성 (개편)'!$B$33:$B$60,0)),"—")</f>
        <v>30</v>
      </c>
      <c r="E47" s="39" t="str">
        <f>IFERROR(INDEX('드랍 구성 (개편)'!$V$61:$V$74,MATCH($A47,'드랍 구성 (개편)'!$B$61:$B$74,0)),"—")</f>
        <v>—</v>
      </c>
      <c r="F47" s="39">
        <f>IFERROR(INDEX('드랍 구성 (개편)'!$V$75:$V$102,MATCH($A47,'드랍 구성 (개편)'!$B$75:$B$102,0)),"—")</f>
        <v>43</v>
      </c>
      <c r="G47" s="39">
        <f>IFERROR(INDEX('드랍 구성 (개편)'!$Z$5:$Z$32,MATCH($A47,'드랍 구성 (개편)'!$B$5:$B$32,0)),"—")</f>
        <v>21</v>
      </c>
      <c r="H47" s="38" t="str">
        <f>IFERROR(INDEX('드랍 구성 (개편)'!$Y$5:$Y$32,MATCH($A47,'드랍 구성 (개편)'!$B$5:$B$32,0)),"—")</f>
        <v>루비</v>
      </c>
      <c r="I47" s="38" t="str">
        <f>IFERROR(INDEX('드랍 구성 (개편)'!$Y$33:$Y$60,MATCH($A47,'드랍 구성 (개편)'!$B$33:$B$60,0)),"—")</f>
        <v>루비</v>
      </c>
      <c r="J47" s="38" t="str">
        <f>IFERROR(INDEX('드랍 구성 (개편)'!$Y$61:$Y$74,MATCH($A47,'드랍 구성 (개편)'!$B$61:$B$74,0)),"—")</f>
        <v>—</v>
      </c>
      <c r="K47" s="38" t="str">
        <f>IFERROR(INDEX('드랍 구성 (개편)'!$Y$75:$Y$102,MATCH($A47,'드랍 구성 (개편)'!$B$75:$B$102,0)),"—")</f>
        <v>다이아몬드</v>
      </c>
      <c r="L47" s="46" t="str">
        <f>'허들 설계'!R31</f>
        <v/>
      </c>
    </row>
    <row r="48" spans="1:12" x14ac:dyDescent="0.3">
      <c r="A48" s="46" t="str">
        <f>'스테이지별 골드'!C32</f>
        <v>7-4</v>
      </c>
      <c r="B48" s="38" t="str">
        <f>'허들 설계'!F32</f>
        <v>대허들</v>
      </c>
      <c r="C48" s="39">
        <f>IFERROR(INDEX('드랍 구성 (개편)'!$V$5:$V$32,MATCH($A48,'드랍 구성 (개편)'!$B$5:$B$32,0)),"—")</f>
        <v>26</v>
      </c>
      <c r="D48" s="39">
        <f>IFERROR(INDEX('드랍 구성 (개편)'!$V$33:$V$60,MATCH($A48,'드랍 구성 (개편)'!$B$33:$B$60,0)),"—")</f>
        <v>31</v>
      </c>
      <c r="E48" s="39">
        <f>IFERROR(INDEX('드랍 구성 (개편)'!$V$61:$V$74,MATCH($A48,'드랍 구성 (개편)'!$B$61:$B$74,0)),"—")</f>
        <v>37</v>
      </c>
      <c r="F48" s="39">
        <f>IFERROR(INDEX('드랍 구성 (개편)'!$V$75:$V$102,MATCH($A48,'드랍 구성 (개편)'!$B$75:$B$102,0)),"—")</f>
        <v>44</v>
      </c>
      <c r="G48" s="39">
        <f>IFERROR(INDEX('드랍 구성 (개편)'!$Z$5:$Z$32,MATCH($A48,'드랍 구성 (개편)'!$B$5:$B$32,0)),"—")</f>
        <v>6</v>
      </c>
      <c r="H48" s="38" t="str">
        <f>IFERROR(INDEX('드랍 구성 (개편)'!$Y$5:$Y$32,MATCH($A48,'드랍 구성 (개편)'!$B$5:$B$32,0)),"—")</f>
        <v>루비</v>
      </c>
      <c r="I48" s="38" t="str">
        <f>IFERROR(INDEX('드랍 구성 (개편)'!$Y$33:$Y$60,MATCH($A48,'드랍 구성 (개편)'!$B$33:$B$60,0)),"—")</f>
        <v>루비</v>
      </c>
      <c r="J48" s="38" t="str">
        <f>IFERROR(INDEX('드랍 구성 (개편)'!$Y$61:$Y$74,MATCH($A48,'드랍 구성 (개편)'!$B$61:$B$74,0)),"—")</f>
        <v>다이아몬드</v>
      </c>
      <c r="K48" s="38" t="str">
        <f>IFERROR(INDEX('드랍 구성 (개편)'!$Y$75:$Y$102,MATCH($A48,'드랍 구성 (개편)'!$B$75:$B$102,0)),"—")</f>
        <v>다이아몬드</v>
      </c>
      <c r="L48" s="46" t="str">
        <f>'허들 설계'!R32</f>
        <v>왕관</v>
      </c>
    </row>
  </sheetData>
  <mergeCells count="1">
    <mergeCell ref="A17:E17"/>
  </mergeCells>
  <phoneticPr fontId="9" type="noConversion"/>
  <conditionalFormatting sqref="A21:L48">
    <cfRule type="expression" dxfId="6" priority="1">
      <formula>$B21="대허들"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"/>
  <sheetViews>
    <sheetView workbookViewId="0"/>
  </sheetViews>
  <sheetFormatPr defaultRowHeight="16.5" x14ac:dyDescent="0.3"/>
  <cols>
    <col min="1" max="1" width="38" customWidth="1"/>
    <col min="2" max="2" width="12" customWidth="1"/>
    <col min="3" max="3" width="20" customWidth="1"/>
    <col min="4" max="4" width="80" customWidth="1"/>
    <col min="5" max="5" width="14" customWidth="1"/>
    <col min="6" max="6" width="16" customWidth="1"/>
    <col min="7" max="7" width="60" customWidth="1"/>
  </cols>
  <sheetData>
    <row r="1" spans="1:5" ht="20.25" customHeight="1" x14ac:dyDescent="0.35">
      <c r="A1" s="1" t="s">
        <v>92</v>
      </c>
    </row>
    <row r="2" spans="1:5" x14ac:dyDescent="0.3">
      <c r="A2" s="132" t="s">
        <v>93</v>
      </c>
      <c r="B2" s="128"/>
      <c r="C2" s="128"/>
      <c r="D2" s="128"/>
      <c r="E2" s="128"/>
    </row>
    <row r="4" spans="1:5" x14ac:dyDescent="0.3">
      <c r="A4" s="3" t="s">
        <v>94</v>
      </c>
      <c r="B4" s="3" t="s">
        <v>95</v>
      </c>
      <c r="C4" s="3" t="s">
        <v>96</v>
      </c>
      <c r="D4" s="3" t="s">
        <v>97</v>
      </c>
    </row>
    <row r="5" spans="1:5" x14ac:dyDescent="0.3">
      <c r="A5" s="14" t="s">
        <v>98</v>
      </c>
      <c r="B5" s="15">
        <v>0.1</v>
      </c>
      <c r="C5" s="16" t="s">
        <v>99</v>
      </c>
      <c r="D5" s="17" t="s">
        <v>100</v>
      </c>
    </row>
    <row r="6" spans="1:5" x14ac:dyDescent="0.3">
      <c r="A6" s="14" t="s">
        <v>101</v>
      </c>
      <c r="B6" s="15">
        <v>1</v>
      </c>
      <c r="C6" s="16" t="s">
        <v>102</v>
      </c>
      <c r="D6" s="17" t="s">
        <v>103</v>
      </c>
    </row>
    <row r="7" spans="1:5" x14ac:dyDescent="0.3">
      <c r="A7" s="14" t="s">
        <v>104</v>
      </c>
      <c r="B7" s="15">
        <v>1.2</v>
      </c>
      <c r="C7" s="16" t="s">
        <v>102</v>
      </c>
      <c r="D7" s="17" t="s">
        <v>105</v>
      </c>
    </row>
    <row r="8" spans="1:5" x14ac:dyDescent="0.3">
      <c r="A8" s="14" t="s">
        <v>106</v>
      </c>
      <c r="B8" s="15">
        <v>1.5</v>
      </c>
      <c r="C8" s="16" t="s">
        <v>102</v>
      </c>
      <c r="D8" s="17" t="s">
        <v>107</v>
      </c>
    </row>
    <row r="9" spans="1:5" ht="27" customHeight="1" x14ac:dyDescent="0.3">
      <c r="A9" s="14" t="s">
        <v>108</v>
      </c>
      <c r="B9" s="15">
        <v>3</v>
      </c>
      <c r="C9" s="16" t="s">
        <v>102</v>
      </c>
      <c r="D9" s="17" t="s">
        <v>109</v>
      </c>
    </row>
    <row r="10" spans="1:5" x14ac:dyDescent="0.3">
      <c r="A10" s="14" t="s">
        <v>110</v>
      </c>
      <c r="B10" s="18">
        <v>5</v>
      </c>
      <c r="C10" s="16" t="s">
        <v>111</v>
      </c>
      <c r="D10" s="17" t="s">
        <v>112</v>
      </c>
    </row>
    <row r="12" spans="1:5" ht="15.75" customHeight="1" x14ac:dyDescent="0.3"/>
    <row r="13" spans="1:5" x14ac:dyDescent="0.3">
      <c r="A13" s="11" t="s">
        <v>113</v>
      </c>
    </row>
    <row r="14" spans="1:5" x14ac:dyDescent="0.3">
      <c r="A14" s="3" t="s">
        <v>114</v>
      </c>
      <c r="B14" s="3" t="s">
        <v>115</v>
      </c>
      <c r="C14" s="3" t="s">
        <v>116</v>
      </c>
      <c r="D14" s="3" t="s">
        <v>117</v>
      </c>
    </row>
    <row r="15" spans="1:5" x14ac:dyDescent="0.3">
      <c r="A15" s="19" t="s">
        <v>59</v>
      </c>
      <c r="B15" s="20">
        <v>1</v>
      </c>
      <c r="C15" s="21" t="str">
        <f>IFERROR(INDEX('드랍 구성'!$A$5:$A$102,MATCH(TRUE,INDEX('드랍 구성'!$J$5:$J$102&gt;0,0),0))&amp;" "&amp;INDEX('드랍 구성'!$B$5:$B$102,MATCH(TRUE,INDEX('드랍 구성'!$J$5:$J$102&gt;0,0),0)),"등장 안 함")</f>
        <v>1-1 일반</v>
      </c>
      <c r="D15" s="22" t="s">
        <v>118</v>
      </c>
    </row>
    <row r="16" spans="1:5" x14ac:dyDescent="0.3">
      <c r="A16" s="19" t="s">
        <v>60</v>
      </c>
      <c r="B16" s="20">
        <v>5</v>
      </c>
      <c r="C16" s="21" t="str">
        <f>IFERROR(INDEX('드랍 구성'!$A$5:$A$102,MATCH(TRUE,INDEX('드랍 구성'!$I$5:$I$102&gt;0,0),0))&amp;" "&amp;INDEX('드랍 구성'!$B$5:$B$102,MATCH(TRUE,INDEX('드랍 구성'!$I$5:$I$102&gt;0,0),0)),"등장 안 함")</f>
        <v>1-1 황금 (보너스)</v>
      </c>
      <c r="D16" s="22"/>
    </row>
    <row r="17" spans="1:6" x14ac:dyDescent="0.3">
      <c r="A17" s="19" t="s">
        <v>61</v>
      </c>
      <c r="B17" s="20">
        <v>25</v>
      </c>
      <c r="C17" s="21" t="str">
        <f>IFERROR(INDEX('드랍 구성'!$A$5:$A$102,MATCH(TRUE,INDEX('드랍 구성'!$H$5:$H$102&gt;0,0),0))&amp;" "&amp;INDEX('드랍 구성'!$B$5:$B$102,MATCH(TRUE,INDEX('드랍 구성'!$H$5:$H$102&gt;0,0),0)),"등장 안 함")</f>
        <v>1-4 랜드마크</v>
      </c>
      <c r="D17" s="22"/>
    </row>
    <row r="18" spans="1:6" x14ac:dyDescent="0.3">
      <c r="A18" s="19" t="s">
        <v>62</v>
      </c>
      <c r="B18" s="20">
        <v>100</v>
      </c>
      <c r="C18" s="21" t="str">
        <f>IFERROR(INDEX('드랍 구성'!$A$5:$A$102,MATCH(TRUE,INDEX('드랍 구성'!$G$5:$G$102&gt;0,0),0))&amp;" "&amp;INDEX('드랍 구성'!$B$5:$B$102,MATCH(TRUE,INDEX('드랍 구성'!$G$5:$G$102&gt;0,0),0)),"등장 안 함")</f>
        <v>3-4 랜드마크</v>
      </c>
      <c r="D18" s="22"/>
    </row>
    <row r="19" spans="1:6" x14ac:dyDescent="0.3">
      <c r="A19" s="19" t="s">
        <v>63</v>
      </c>
      <c r="B19" s="20">
        <v>500</v>
      </c>
      <c r="C19" s="21" t="str">
        <f>IFERROR(INDEX('드랍 구성'!$A$5:$A$102,MATCH(TRUE,INDEX('드랍 구성'!$F$5:$F$102&gt;0,0),0))&amp;" "&amp;INDEX('드랍 구성'!$B$5:$B$102,MATCH(TRUE,INDEX('드랍 구성'!$F$5:$F$102&gt;0,0),0)),"등장 안 함")</f>
        <v>5-2 랜드마크</v>
      </c>
      <c r="D19" s="22"/>
    </row>
    <row r="20" spans="1:6" x14ac:dyDescent="0.3">
      <c r="A20" s="19" t="s">
        <v>64</v>
      </c>
      <c r="B20" s="20">
        <v>1000</v>
      </c>
      <c r="C20" s="21" t="str">
        <f>IFERROR(INDEX('드랍 구성'!$A$5:$A$102,MATCH(TRUE,INDEX('드랍 구성'!$E$5:$E$102&gt;0,0),0))&amp;" "&amp;INDEX('드랍 구성'!$B$5:$B$102,MATCH(TRUE,INDEX('드랍 구성'!$E$5:$E$102&gt;0,0),0)),"등장 안 함")</f>
        <v>6-2 랜드마크</v>
      </c>
      <c r="D20" s="22"/>
    </row>
    <row r="22" spans="1:6" x14ac:dyDescent="0.3">
      <c r="A22" s="11"/>
    </row>
    <row r="23" spans="1:6" ht="17.25" customHeight="1" x14ac:dyDescent="0.3">
      <c r="A23" s="47" t="s">
        <v>119</v>
      </c>
    </row>
    <row r="24" spans="1:6" x14ac:dyDescent="0.3">
      <c r="A24" s="32" t="s">
        <v>120</v>
      </c>
    </row>
    <row r="25" spans="1:6" ht="27" customHeight="1" x14ac:dyDescent="0.3">
      <c r="A25" s="36" t="s">
        <v>58</v>
      </c>
      <c r="B25" s="36" t="s">
        <v>121</v>
      </c>
      <c r="C25" s="36" t="s">
        <v>122</v>
      </c>
      <c r="D25" s="36" t="s">
        <v>123</v>
      </c>
      <c r="E25" s="36" t="s">
        <v>124</v>
      </c>
      <c r="F25" s="36" t="s">
        <v>125</v>
      </c>
    </row>
    <row r="26" spans="1:6" x14ac:dyDescent="0.3">
      <c r="A26" s="37" t="s">
        <v>65</v>
      </c>
      <c r="B26" s="48">
        <v>10</v>
      </c>
      <c r="C26" s="49">
        <v>0.02</v>
      </c>
      <c r="D26" s="49">
        <v>7.0000000000000007E-2</v>
      </c>
      <c r="E26" s="50">
        <v>1</v>
      </c>
      <c r="F26" s="44" t="s">
        <v>126</v>
      </c>
    </row>
    <row r="27" spans="1:6" x14ac:dyDescent="0.3">
      <c r="A27" s="37" t="s">
        <v>66</v>
      </c>
      <c r="B27" s="48">
        <v>12</v>
      </c>
      <c r="C27" s="49">
        <v>0.02</v>
      </c>
      <c r="D27" s="49">
        <v>7.0000000000000007E-2</v>
      </c>
      <c r="E27" s="50">
        <v>1</v>
      </c>
      <c r="F27" s="44" t="s">
        <v>127</v>
      </c>
    </row>
    <row r="28" spans="1:6" x14ac:dyDescent="0.3">
      <c r="A28" s="37" t="s">
        <v>67</v>
      </c>
      <c r="B28" s="48">
        <v>20</v>
      </c>
      <c r="C28" s="49">
        <v>1.2E-2</v>
      </c>
      <c r="D28" s="49">
        <v>0.05</v>
      </c>
      <c r="E28" s="50">
        <v>0</v>
      </c>
      <c r="F28" s="44" t="s">
        <v>128</v>
      </c>
    </row>
    <row r="29" spans="1:6" x14ac:dyDescent="0.3">
      <c r="A29" s="37" t="s">
        <v>68</v>
      </c>
      <c r="B29" s="48">
        <v>18</v>
      </c>
      <c r="C29" s="49">
        <v>0.02</v>
      </c>
      <c r="D29" s="49">
        <v>0.06</v>
      </c>
      <c r="E29" s="50">
        <v>0</v>
      </c>
      <c r="F29" s="44" t="s">
        <v>129</v>
      </c>
    </row>
    <row r="31" spans="1:6" ht="17.25" customHeight="1" x14ac:dyDescent="0.3">
      <c r="A31" s="47" t="s">
        <v>130</v>
      </c>
    </row>
    <row r="32" spans="1:6" x14ac:dyDescent="0.3">
      <c r="A32" s="32" t="s">
        <v>131</v>
      </c>
    </row>
    <row r="33" spans="1:7" x14ac:dyDescent="0.3">
      <c r="A33" s="36" t="s">
        <v>114</v>
      </c>
      <c r="B33" s="36" t="s">
        <v>132</v>
      </c>
      <c r="C33" s="36" t="s">
        <v>133</v>
      </c>
      <c r="D33" s="36" t="s">
        <v>117</v>
      </c>
    </row>
    <row r="34" spans="1:7" x14ac:dyDescent="0.3">
      <c r="A34" s="37" t="str">
        <f t="shared" ref="A34:A39" si="0">A15</f>
        <v>금 코인</v>
      </c>
      <c r="B34" s="51" t="s">
        <v>134</v>
      </c>
      <c r="C34" s="52">
        <f t="shared" ref="C34:C39" si="1">(VALUE(LEFT(B34,1))-1)*4+VALUE(RIGHT(B34,1))</f>
        <v>1</v>
      </c>
      <c r="D34" s="44" t="s">
        <v>135</v>
      </c>
    </row>
    <row r="35" spans="1:7" x14ac:dyDescent="0.3">
      <c r="A35" s="37" t="str">
        <f t="shared" si="0"/>
        <v>금괴</v>
      </c>
      <c r="B35" s="51" t="s">
        <v>134</v>
      </c>
      <c r="C35" s="52">
        <f t="shared" si="1"/>
        <v>1</v>
      </c>
      <c r="D35" s="44" t="s">
        <v>136</v>
      </c>
    </row>
    <row r="36" spans="1:7" x14ac:dyDescent="0.3">
      <c r="A36" s="37" t="str">
        <f t="shared" si="0"/>
        <v>사파이어</v>
      </c>
      <c r="B36" s="51" t="s">
        <v>137</v>
      </c>
      <c r="C36" s="52">
        <f t="shared" si="1"/>
        <v>4</v>
      </c>
      <c r="D36" s="44" t="s">
        <v>138</v>
      </c>
    </row>
    <row r="37" spans="1:7" x14ac:dyDescent="0.3">
      <c r="A37" s="37" t="str">
        <f t="shared" si="0"/>
        <v>루비</v>
      </c>
      <c r="B37" s="51" t="s">
        <v>139</v>
      </c>
      <c r="C37" s="52">
        <f t="shared" si="1"/>
        <v>12</v>
      </c>
      <c r="D37" s="44" t="s">
        <v>140</v>
      </c>
    </row>
    <row r="38" spans="1:7" x14ac:dyDescent="0.3">
      <c r="A38" s="37" t="str">
        <f t="shared" si="0"/>
        <v>다이아몬드</v>
      </c>
      <c r="B38" s="51" t="s">
        <v>141</v>
      </c>
      <c r="C38" s="52">
        <f t="shared" si="1"/>
        <v>20</v>
      </c>
      <c r="D38" s="44" t="s">
        <v>142</v>
      </c>
    </row>
    <row r="39" spans="1:7" x14ac:dyDescent="0.3">
      <c r="A39" s="37" t="str">
        <f t="shared" si="0"/>
        <v>왕관</v>
      </c>
      <c r="B39" s="51" t="s">
        <v>143</v>
      </c>
      <c r="C39" s="52">
        <f t="shared" si="1"/>
        <v>28</v>
      </c>
      <c r="D39" s="44" t="s">
        <v>144</v>
      </c>
    </row>
    <row r="41" spans="1:7" ht="17.25" customHeight="1" x14ac:dyDescent="0.3">
      <c r="A41" s="47" t="s">
        <v>145</v>
      </c>
    </row>
    <row r="42" spans="1:7" x14ac:dyDescent="0.3">
      <c r="A42" s="32" t="s">
        <v>146</v>
      </c>
    </row>
    <row r="43" spans="1:7" x14ac:dyDescent="0.3">
      <c r="A43" s="36" t="s">
        <v>81</v>
      </c>
      <c r="B43" s="36" t="s">
        <v>147</v>
      </c>
      <c r="C43" s="36" t="s">
        <v>148</v>
      </c>
      <c r="D43" s="36" t="s">
        <v>149</v>
      </c>
      <c r="E43" s="36" t="s">
        <v>150</v>
      </c>
      <c r="F43" s="36" t="s">
        <v>151</v>
      </c>
      <c r="G43" s="36" t="s">
        <v>97</v>
      </c>
    </row>
    <row r="44" spans="1:7" x14ac:dyDescent="0.3">
      <c r="A44" s="37" t="s">
        <v>152</v>
      </c>
      <c r="B44" s="53">
        <v>1</v>
      </c>
      <c r="C44" s="53">
        <v>0</v>
      </c>
      <c r="D44" s="54">
        <v>1</v>
      </c>
      <c r="E44" s="54">
        <v>1</v>
      </c>
      <c r="F44" s="54">
        <v>1</v>
      </c>
      <c r="G44" s="44" t="s">
        <v>153</v>
      </c>
    </row>
    <row r="45" spans="1:7" x14ac:dyDescent="0.3">
      <c r="A45" s="37" t="s">
        <v>154</v>
      </c>
      <c r="B45" s="53">
        <v>1</v>
      </c>
      <c r="C45" s="53">
        <v>0</v>
      </c>
      <c r="D45" s="54">
        <v>0.9</v>
      </c>
      <c r="E45" s="54">
        <v>0.9</v>
      </c>
      <c r="F45" s="54">
        <v>0.9</v>
      </c>
      <c r="G45" s="44" t="s">
        <v>155</v>
      </c>
    </row>
    <row r="46" spans="1:7" x14ac:dyDescent="0.3">
      <c r="A46" s="37" t="s">
        <v>156</v>
      </c>
      <c r="B46" s="53">
        <v>1</v>
      </c>
      <c r="C46" s="53">
        <v>0</v>
      </c>
      <c r="D46" s="54">
        <v>1</v>
      </c>
      <c r="E46" s="54">
        <v>1</v>
      </c>
      <c r="F46" s="54">
        <v>1</v>
      </c>
      <c r="G46" s="44" t="s">
        <v>157</v>
      </c>
    </row>
    <row r="47" spans="1:7" x14ac:dyDescent="0.3">
      <c r="A47" s="37" t="s">
        <v>158</v>
      </c>
      <c r="B47" s="53">
        <v>1.5</v>
      </c>
      <c r="C47" s="53">
        <v>0</v>
      </c>
      <c r="D47" s="54">
        <v>1</v>
      </c>
      <c r="E47" s="54">
        <v>1</v>
      </c>
      <c r="F47" s="54">
        <v>1.1000000000000001</v>
      </c>
      <c r="G47" s="44" t="s">
        <v>159</v>
      </c>
    </row>
    <row r="48" spans="1:7" x14ac:dyDescent="0.3">
      <c r="A48" s="37" t="s">
        <v>160</v>
      </c>
      <c r="B48" s="53">
        <v>2</v>
      </c>
      <c r="C48" s="53">
        <v>0.5</v>
      </c>
      <c r="D48" s="54">
        <v>1</v>
      </c>
      <c r="E48" s="54">
        <v>1.3</v>
      </c>
      <c r="F48" s="54">
        <v>1.3</v>
      </c>
      <c r="G48" s="44" t="s">
        <v>161</v>
      </c>
    </row>
    <row r="50" spans="1:4" x14ac:dyDescent="0.3">
      <c r="A50" s="44" t="s">
        <v>162</v>
      </c>
      <c r="B50" s="55">
        <v>0.3</v>
      </c>
      <c r="C50" s="56" t="s">
        <v>163</v>
      </c>
      <c r="D50" s="44" t="s">
        <v>164</v>
      </c>
    </row>
  </sheetData>
  <mergeCells count="1">
    <mergeCell ref="A2:E2"/>
  </mergeCells>
  <phoneticPr fontId="9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3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7" customWidth="1"/>
    <col min="2" max="3" width="9" customWidth="1"/>
    <col min="4" max="5" width="7" customWidth="1"/>
    <col min="6" max="8" width="9" customWidth="1"/>
    <col min="9" max="12" width="10" customWidth="1"/>
    <col min="13" max="13" width="13" customWidth="1"/>
    <col min="14" max="14" width="11" customWidth="1"/>
    <col min="15" max="16" width="10" customWidth="1"/>
    <col min="17" max="17" width="12" customWidth="1"/>
    <col min="18" max="18" width="15" customWidth="1"/>
    <col min="19" max="19" width="14" customWidth="1"/>
  </cols>
  <sheetData>
    <row r="1" spans="1:19" ht="20.25" customHeight="1" x14ac:dyDescent="0.35">
      <c r="A1" s="1" t="s">
        <v>165</v>
      </c>
    </row>
    <row r="2" spans="1:19" x14ac:dyDescent="0.3">
      <c r="A2" s="2" t="s">
        <v>166</v>
      </c>
    </row>
    <row r="3" spans="1:19" x14ac:dyDescent="0.3">
      <c r="A3" s="136" t="s">
        <v>80</v>
      </c>
      <c r="B3" s="128"/>
      <c r="C3" s="128"/>
      <c r="D3" s="136" t="s">
        <v>167</v>
      </c>
      <c r="E3" s="128"/>
      <c r="F3" s="128"/>
      <c r="G3" s="136" t="s">
        <v>168</v>
      </c>
      <c r="H3" s="128"/>
      <c r="I3" s="128"/>
      <c r="J3" s="136" t="s">
        <v>169</v>
      </c>
      <c r="K3" s="128"/>
      <c r="L3" s="128"/>
      <c r="M3" s="128"/>
      <c r="N3" s="136" t="s">
        <v>170</v>
      </c>
      <c r="O3" s="128"/>
      <c r="P3" s="128"/>
      <c r="Q3" s="128"/>
      <c r="R3" s="136" t="s">
        <v>15</v>
      </c>
      <c r="S3" s="128"/>
    </row>
    <row r="4" spans="1:19" x14ac:dyDescent="0.3">
      <c r="A4" s="3" t="s">
        <v>2</v>
      </c>
      <c r="B4" s="3" t="s">
        <v>171</v>
      </c>
      <c r="C4" s="3" t="s">
        <v>80</v>
      </c>
      <c r="D4" s="3" t="s">
        <v>65</v>
      </c>
      <c r="E4" s="3" t="s">
        <v>66</v>
      </c>
      <c r="F4" s="3" t="s">
        <v>67</v>
      </c>
      <c r="G4" s="3" t="s">
        <v>65</v>
      </c>
      <c r="H4" s="3" t="s">
        <v>66</v>
      </c>
      <c r="I4" s="3" t="s">
        <v>67</v>
      </c>
      <c r="J4" s="3" t="s">
        <v>172</v>
      </c>
      <c r="K4" s="3" t="s">
        <v>173</v>
      </c>
      <c r="L4" s="3" t="s">
        <v>67</v>
      </c>
      <c r="M4" s="3" t="s">
        <v>174</v>
      </c>
      <c r="N4" s="3" t="s">
        <v>175</v>
      </c>
      <c r="O4" s="3" t="s">
        <v>176</v>
      </c>
      <c r="P4" s="3" t="s">
        <v>177</v>
      </c>
      <c r="Q4" s="3" t="s">
        <v>178</v>
      </c>
      <c r="R4" s="3" t="s">
        <v>179</v>
      </c>
      <c r="S4" s="3" t="s">
        <v>180</v>
      </c>
    </row>
    <row r="5" spans="1:19" x14ac:dyDescent="0.3">
      <c r="A5" s="23" t="s">
        <v>8</v>
      </c>
      <c r="B5" s="23" t="s">
        <v>181</v>
      </c>
      <c r="C5" s="4" t="s">
        <v>134</v>
      </c>
      <c r="D5" s="20">
        <v>9</v>
      </c>
      <c r="E5" s="20">
        <v>1</v>
      </c>
      <c r="F5" s="20">
        <v>0</v>
      </c>
      <c r="G5" s="20">
        <v>100</v>
      </c>
      <c r="H5" s="20">
        <v>130</v>
      </c>
      <c r="I5" s="20">
        <v>0</v>
      </c>
      <c r="J5" s="23">
        <f>ROUND(G5*설정!$B$5*설정!$B$6,0)</f>
        <v>10</v>
      </c>
      <c r="K5" s="23">
        <f>ROUND(H5*설정!$B$5*설정!$B$7,0)</f>
        <v>16</v>
      </c>
      <c r="L5" s="23">
        <f>IF(F5=0,0,ROUND(I5*설정!$B$5*설정!$B$8,0))</f>
        <v>0</v>
      </c>
      <c r="M5" s="4">
        <f t="shared" ref="M5:M32" si="0">D5*J5+E5*K5+F5*L5</f>
        <v>106</v>
      </c>
      <c r="N5" s="20">
        <v>10</v>
      </c>
      <c r="O5" s="20">
        <v>150</v>
      </c>
      <c r="P5" s="23">
        <f>ROUND(O5*설정!$B$5*설정!$B$9,0)</f>
        <v>45</v>
      </c>
      <c r="Q5" s="23">
        <f t="shared" ref="Q5:Q32" si="1">N5*P5</f>
        <v>450</v>
      </c>
      <c r="R5" s="4">
        <f t="shared" ref="R5:R32" si="2">M5+Q5</f>
        <v>556</v>
      </c>
      <c r="S5" s="23">
        <f>SUM($R$5:R5)</f>
        <v>556</v>
      </c>
    </row>
    <row r="6" spans="1:19" x14ac:dyDescent="0.3">
      <c r="A6" s="23" t="s">
        <v>8</v>
      </c>
      <c r="B6" s="23" t="s">
        <v>181</v>
      </c>
      <c r="C6" s="4" t="s">
        <v>182</v>
      </c>
      <c r="D6" s="20">
        <v>10</v>
      </c>
      <c r="E6" s="20">
        <v>2</v>
      </c>
      <c r="F6" s="20">
        <v>1</v>
      </c>
      <c r="G6" s="20">
        <v>125</v>
      </c>
      <c r="H6" s="20">
        <v>165</v>
      </c>
      <c r="I6" s="20">
        <v>625</v>
      </c>
      <c r="J6" s="23">
        <f>ROUND(G6*설정!$B$5*설정!$B$6,0)</f>
        <v>13</v>
      </c>
      <c r="K6" s="23">
        <f>ROUND(H6*설정!$B$5*설정!$B$7,0)</f>
        <v>20</v>
      </c>
      <c r="L6" s="23">
        <f>IF(F6=0,0,ROUND(I6*설정!$B$5*설정!$B$8,0))</f>
        <v>94</v>
      </c>
      <c r="M6" s="4">
        <f t="shared" si="0"/>
        <v>264</v>
      </c>
      <c r="N6" s="20">
        <v>10</v>
      </c>
      <c r="O6" s="20">
        <v>188</v>
      </c>
      <c r="P6" s="23">
        <f>ROUND(O6*설정!$B$5*설정!$B$9,0)</f>
        <v>56</v>
      </c>
      <c r="Q6" s="23">
        <f t="shared" si="1"/>
        <v>560</v>
      </c>
      <c r="R6" s="4">
        <f t="shared" si="2"/>
        <v>824</v>
      </c>
      <c r="S6" s="23">
        <f>SUM($R$5:R6)</f>
        <v>1380</v>
      </c>
    </row>
    <row r="7" spans="1:19" x14ac:dyDescent="0.3">
      <c r="A7" s="23" t="s">
        <v>8</v>
      </c>
      <c r="B7" s="23" t="s">
        <v>183</v>
      </c>
      <c r="C7" s="4" t="s">
        <v>184</v>
      </c>
      <c r="D7" s="20">
        <v>11</v>
      </c>
      <c r="E7" s="20">
        <v>2</v>
      </c>
      <c r="F7" s="20">
        <v>0</v>
      </c>
      <c r="G7" s="20">
        <v>150</v>
      </c>
      <c r="H7" s="20">
        <v>200</v>
      </c>
      <c r="I7" s="20">
        <v>0</v>
      </c>
      <c r="J7" s="23">
        <f>ROUND(G7*설정!$B$5*설정!$B$6,0)</f>
        <v>15</v>
      </c>
      <c r="K7" s="23">
        <f>ROUND(H7*설정!$B$5*설정!$B$7,0)</f>
        <v>24</v>
      </c>
      <c r="L7" s="23">
        <f>IF(F7=0,0,ROUND(I7*설정!$B$5*설정!$B$8,0))</f>
        <v>0</v>
      </c>
      <c r="M7" s="4">
        <f t="shared" si="0"/>
        <v>213</v>
      </c>
      <c r="N7" s="20">
        <v>11</v>
      </c>
      <c r="O7" s="20">
        <v>225</v>
      </c>
      <c r="P7" s="23">
        <f>ROUND(O7*설정!$B$5*설정!$B$9,0)</f>
        <v>68</v>
      </c>
      <c r="Q7" s="23">
        <f t="shared" si="1"/>
        <v>748</v>
      </c>
      <c r="R7" s="4">
        <f t="shared" si="2"/>
        <v>961</v>
      </c>
      <c r="S7" s="23">
        <f>SUM($R$5:R7)</f>
        <v>2341</v>
      </c>
    </row>
    <row r="8" spans="1:19" x14ac:dyDescent="0.3">
      <c r="A8" s="23" t="s">
        <v>8</v>
      </c>
      <c r="B8" s="23" t="s">
        <v>183</v>
      </c>
      <c r="C8" s="4" t="s">
        <v>137</v>
      </c>
      <c r="D8" s="20">
        <v>12</v>
      </c>
      <c r="E8" s="20">
        <v>3</v>
      </c>
      <c r="F8" s="20">
        <v>1</v>
      </c>
      <c r="G8" s="20">
        <v>190</v>
      </c>
      <c r="H8" s="20">
        <v>250</v>
      </c>
      <c r="I8" s="20">
        <v>950</v>
      </c>
      <c r="J8" s="23">
        <f>ROUND(G8*설정!$B$5*설정!$B$6,0)</f>
        <v>19</v>
      </c>
      <c r="K8" s="23">
        <f>ROUND(H8*설정!$B$5*설정!$B$7,0)</f>
        <v>30</v>
      </c>
      <c r="L8" s="23">
        <f>IF(F8=0,0,ROUND(I8*설정!$B$5*설정!$B$8,0))</f>
        <v>143</v>
      </c>
      <c r="M8" s="4">
        <f t="shared" si="0"/>
        <v>461</v>
      </c>
      <c r="N8" s="20">
        <v>11</v>
      </c>
      <c r="O8" s="20">
        <v>285</v>
      </c>
      <c r="P8" s="23">
        <f>ROUND(O8*설정!$B$5*설정!$B$9,0)</f>
        <v>86</v>
      </c>
      <c r="Q8" s="23">
        <f t="shared" si="1"/>
        <v>946</v>
      </c>
      <c r="R8" s="4">
        <f t="shared" si="2"/>
        <v>1407</v>
      </c>
      <c r="S8" s="23">
        <f>SUM($R$5:R8)</f>
        <v>3748</v>
      </c>
    </row>
    <row r="9" spans="1:19" x14ac:dyDescent="0.3">
      <c r="A9" s="24" t="s">
        <v>9</v>
      </c>
      <c r="B9" s="24" t="s">
        <v>185</v>
      </c>
      <c r="C9" s="25" t="s">
        <v>186</v>
      </c>
      <c r="D9" s="26">
        <v>13</v>
      </c>
      <c r="E9" s="26">
        <v>3</v>
      </c>
      <c r="F9" s="26">
        <v>0</v>
      </c>
      <c r="G9" s="26">
        <v>230</v>
      </c>
      <c r="H9" s="26">
        <v>300</v>
      </c>
      <c r="I9" s="26">
        <v>0</v>
      </c>
      <c r="J9" s="24">
        <f>ROUND(G9*설정!$B$5*설정!$B$6,0)</f>
        <v>23</v>
      </c>
      <c r="K9" s="24">
        <f>ROUND(H9*설정!$B$5*설정!$B$7,0)</f>
        <v>36</v>
      </c>
      <c r="L9" s="24">
        <f>IF(F9=0,0,ROUND(I9*설정!$B$5*설정!$B$8,0))</f>
        <v>0</v>
      </c>
      <c r="M9" s="25">
        <f t="shared" si="0"/>
        <v>407</v>
      </c>
      <c r="N9" s="26">
        <v>12</v>
      </c>
      <c r="O9" s="26">
        <v>345</v>
      </c>
      <c r="P9" s="24">
        <f>ROUND(O9*설정!$B$5*설정!$B$9,0)</f>
        <v>104</v>
      </c>
      <c r="Q9" s="24">
        <f t="shared" si="1"/>
        <v>1248</v>
      </c>
      <c r="R9" s="25">
        <f t="shared" si="2"/>
        <v>1655</v>
      </c>
      <c r="S9" s="24">
        <f>SUM($R$5:R9)</f>
        <v>5403</v>
      </c>
    </row>
    <row r="10" spans="1:19" x14ac:dyDescent="0.3">
      <c r="A10" s="24" t="s">
        <v>9</v>
      </c>
      <c r="B10" s="24" t="s">
        <v>185</v>
      </c>
      <c r="C10" s="25" t="s">
        <v>187</v>
      </c>
      <c r="D10" s="26">
        <v>14</v>
      </c>
      <c r="E10" s="26">
        <v>4</v>
      </c>
      <c r="F10" s="26">
        <v>1</v>
      </c>
      <c r="G10" s="26">
        <v>290</v>
      </c>
      <c r="H10" s="26">
        <v>380</v>
      </c>
      <c r="I10" s="26">
        <v>1450</v>
      </c>
      <c r="J10" s="24">
        <f>ROUND(G10*설정!$B$5*설정!$B$6,0)</f>
        <v>29</v>
      </c>
      <c r="K10" s="24">
        <f>ROUND(H10*설정!$B$5*설정!$B$7,0)</f>
        <v>46</v>
      </c>
      <c r="L10" s="24">
        <f>IF(F10=0,0,ROUND(I10*설정!$B$5*설정!$B$8,0))</f>
        <v>218</v>
      </c>
      <c r="M10" s="25">
        <f t="shared" si="0"/>
        <v>808</v>
      </c>
      <c r="N10" s="26">
        <v>12</v>
      </c>
      <c r="O10" s="26">
        <v>435</v>
      </c>
      <c r="P10" s="24">
        <f>ROUND(O10*설정!$B$5*설정!$B$9,0)</f>
        <v>131</v>
      </c>
      <c r="Q10" s="24">
        <f t="shared" si="1"/>
        <v>1572</v>
      </c>
      <c r="R10" s="25">
        <f t="shared" si="2"/>
        <v>2380</v>
      </c>
      <c r="S10" s="24">
        <f>SUM($R$5:R10)</f>
        <v>7783</v>
      </c>
    </row>
    <row r="11" spans="1:19" x14ac:dyDescent="0.3">
      <c r="A11" s="24" t="s">
        <v>9</v>
      </c>
      <c r="B11" s="24" t="s">
        <v>188</v>
      </c>
      <c r="C11" s="25" t="s">
        <v>189</v>
      </c>
      <c r="D11" s="26">
        <v>15</v>
      </c>
      <c r="E11" s="26">
        <v>4</v>
      </c>
      <c r="F11" s="26">
        <v>0</v>
      </c>
      <c r="G11" s="26">
        <v>350</v>
      </c>
      <c r="H11" s="26">
        <v>460</v>
      </c>
      <c r="I11" s="26">
        <v>0</v>
      </c>
      <c r="J11" s="24">
        <f>ROUND(G11*설정!$B$5*설정!$B$6,0)</f>
        <v>35</v>
      </c>
      <c r="K11" s="24">
        <f>ROUND(H11*설정!$B$5*설정!$B$7,0)</f>
        <v>55</v>
      </c>
      <c r="L11" s="24">
        <f>IF(F11=0,0,ROUND(I11*설정!$B$5*설정!$B$8,0))</f>
        <v>0</v>
      </c>
      <c r="M11" s="25">
        <f t="shared" si="0"/>
        <v>745</v>
      </c>
      <c r="N11" s="26">
        <v>13</v>
      </c>
      <c r="O11" s="26">
        <v>525</v>
      </c>
      <c r="P11" s="24">
        <f>ROUND(O11*설정!$B$5*설정!$B$9,0)</f>
        <v>158</v>
      </c>
      <c r="Q11" s="24">
        <f t="shared" si="1"/>
        <v>2054</v>
      </c>
      <c r="R11" s="25">
        <f t="shared" si="2"/>
        <v>2799</v>
      </c>
      <c r="S11" s="24">
        <f>SUM($R$5:R11)</f>
        <v>10582</v>
      </c>
    </row>
    <row r="12" spans="1:19" x14ac:dyDescent="0.3">
      <c r="A12" s="24" t="s">
        <v>9</v>
      </c>
      <c r="B12" s="24" t="s">
        <v>188</v>
      </c>
      <c r="C12" s="25" t="s">
        <v>190</v>
      </c>
      <c r="D12" s="26">
        <v>16</v>
      </c>
      <c r="E12" s="26">
        <v>5</v>
      </c>
      <c r="F12" s="26">
        <v>1</v>
      </c>
      <c r="G12" s="26">
        <v>440</v>
      </c>
      <c r="H12" s="26">
        <v>575</v>
      </c>
      <c r="I12" s="26">
        <v>2200</v>
      </c>
      <c r="J12" s="24">
        <f>ROUND(G12*설정!$B$5*설정!$B$6,0)</f>
        <v>44</v>
      </c>
      <c r="K12" s="24">
        <f>ROUND(H12*설정!$B$5*설정!$B$7,0)</f>
        <v>69</v>
      </c>
      <c r="L12" s="24">
        <f>IF(F12=0,0,ROUND(I12*설정!$B$5*설정!$B$8,0))</f>
        <v>330</v>
      </c>
      <c r="M12" s="25">
        <f t="shared" si="0"/>
        <v>1379</v>
      </c>
      <c r="N12" s="26">
        <v>13</v>
      </c>
      <c r="O12" s="26">
        <v>660</v>
      </c>
      <c r="P12" s="24">
        <f>ROUND(O12*설정!$B$5*설정!$B$9,0)</f>
        <v>198</v>
      </c>
      <c r="Q12" s="24">
        <f t="shared" si="1"/>
        <v>2574</v>
      </c>
      <c r="R12" s="25">
        <f t="shared" si="2"/>
        <v>3953</v>
      </c>
      <c r="S12" s="24">
        <f>SUM($R$5:R12)</f>
        <v>14535</v>
      </c>
    </row>
    <row r="13" spans="1:19" x14ac:dyDescent="0.3">
      <c r="A13" s="23" t="s">
        <v>10</v>
      </c>
      <c r="B13" s="23" t="s">
        <v>191</v>
      </c>
      <c r="C13" s="4" t="s">
        <v>192</v>
      </c>
      <c r="D13" s="20">
        <v>17</v>
      </c>
      <c r="E13" s="20">
        <v>5</v>
      </c>
      <c r="F13" s="20">
        <v>0</v>
      </c>
      <c r="G13" s="20">
        <v>530</v>
      </c>
      <c r="H13" s="20">
        <v>700</v>
      </c>
      <c r="I13" s="20">
        <v>0</v>
      </c>
      <c r="J13" s="23">
        <f>ROUND(G13*설정!$B$5*설정!$B$6,0)</f>
        <v>53</v>
      </c>
      <c r="K13" s="23">
        <f>ROUND(H13*설정!$B$5*설정!$B$7,0)</f>
        <v>84</v>
      </c>
      <c r="L13" s="23">
        <f>IF(F13=0,0,ROUND(I13*설정!$B$5*설정!$B$8,0))</f>
        <v>0</v>
      </c>
      <c r="M13" s="4">
        <f t="shared" si="0"/>
        <v>1321</v>
      </c>
      <c r="N13" s="20">
        <v>14</v>
      </c>
      <c r="O13" s="20">
        <v>795</v>
      </c>
      <c r="P13" s="23">
        <f>ROUND(O13*설정!$B$5*설정!$B$9,0)</f>
        <v>239</v>
      </c>
      <c r="Q13" s="23">
        <f t="shared" si="1"/>
        <v>3346</v>
      </c>
      <c r="R13" s="4">
        <f t="shared" si="2"/>
        <v>4667</v>
      </c>
      <c r="S13" s="23">
        <f>SUM($R$5:R13)</f>
        <v>19202</v>
      </c>
    </row>
    <row r="14" spans="1:19" x14ac:dyDescent="0.3">
      <c r="A14" s="23" t="s">
        <v>10</v>
      </c>
      <c r="B14" s="23" t="s">
        <v>191</v>
      </c>
      <c r="C14" s="4" t="s">
        <v>193</v>
      </c>
      <c r="D14" s="20">
        <v>18</v>
      </c>
      <c r="E14" s="20">
        <v>6</v>
      </c>
      <c r="F14" s="20">
        <v>1</v>
      </c>
      <c r="G14" s="20">
        <v>660</v>
      </c>
      <c r="H14" s="20">
        <v>860</v>
      </c>
      <c r="I14" s="20">
        <v>3300</v>
      </c>
      <c r="J14" s="23">
        <f>ROUND(G14*설정!$B$5*설정!$B$6,0)</f>
        <v>66</v>
      </c>
      <c r="K14" s="23">
        <f>ROUND(H14*설정!$B$5*설정!$B$7,0)</f>
        <v>103</v>
      </c>
      <c r="L14" s="23">
        <f>IF(F14=0,0,ROUND(I14*설정!$B$5*설정!$B$8,0))</f>
        <v>495</v>
      </c>
      <c r="M14" s="4">
        <f t="shared" si="0"/>
        <v>2301</v>
      </c>
      <c r="N14" s="20">
        <v>14</v>
      </c>
      <c r="O14" s="20">
        <v>990</v>
      </c>
      <c r="P14" s="23">
        <f>ROUND(O14*설정!$B$5*설정!$B$9,0)</f>
        <v>297</v>
      </c>
      <c r="Q14" s="23">
        <f t="shared" si="1"/>
        <v>4158</v>
      </c>
      <c r="R14" s="4">
        <f t="shared" si="2"/>
        <v>6459</v>
      </c>
      <c r="S14" s="23">
        <f>SUM($R$5:R14)</f>
        <v>25661</v>
      </c>
    </row>
    <row r="15" spans="1:19" x14ac:dyDescent="0.3">
      <c r="A15" s="23" t="s">
        <v>10</v>
      </c>
      <c r="B15" s="23" t="s">
        <v>194</v>
      </c>
      <c r="C15" s="4" t="s">
        <v>195</v>
      </c>
      <c r="D15" s="20">
        <v>19</v>
      </c>
      <c r="E15" s="20">
        <v>6</v>
      </c>
      <c r="F15" s="20">
        <v>0</v>
      </c>
      <c r="G15" s="20">
        <v>800</v>
      </c>
      <c r="H15" s="20">
        <v>1050</v>
      </c>
      <c r="I15" s="20">
        <v>0</v>
      </c>
      <c r="J15" s="23">
        <f>ROUND(G15*설정!$B$5*설정!$B$6,0)</f>
        <v>80</v>
      </c>
      <c r="K15" s="23">
        <f>ROUND(H15*설정!$B$5*설정!$B$7,0)</f>
        <v>126</v>
      </c>
      <c r="L15" s="23">
        <f>IF(F15=0,0,ROUND(I15*설정!$B$5*설정!$B$8,0))</f>
        <v>0</v>
      </c>
      <c r="M15" s="4">
        <f t="shared" si="0"/>
        <v>2276</v>
      </c>
      <c r="N15" s="20">
        <v>15</v>
      </c>
      <c r="O15" s="20">
        <v>1200</v>
      </c>
      <c r="P15" s="23">
        <f>ROUND(O15*설정!$B$5*설정!$B$9,0)</f>
        <v>360</v>
      </c>
      <c r="Q15" s="23">
        <f t="shared" si="1"/>
        <v>5400</v>
      </c>
      <c r="R15" s="4">
        <f t="shared" si="2"/>
        <v>7676</v>
      </c>
      <c r="S15" s="23">
        <f>SUM($R$5:R15)</f>
        <v>33337</v>
      </c>
    </row>
    <row r="16" spans="1:19" x14ac:dyDescent="0.3">
      <c r="A16" s="23" t="s">
        <v>10</v>
      </c>
      <c r="B16" s="23" t="s">
        <v>194</v>
      </c>
      <c r="C16" s="4" t="s">
        <v>139</v>
      </c>
      <c r="D16" s="20">
        <v>20</v>
      </c>
      <c r="E16" s="20">
        <v>7</v>
      </c>
      <c r="F16" s="20">
        <v>1</v>
      </c>
      <c r="G16" s="20">
        <v>1000</v>
      </c>
      <c r="H16" s="20">
        <v>1300</v>
      </c>
      <c r="I16" s="20">
        <v>5000</v>
      </c>
      <c r="J16" s="23">
        <f>ROUND(G16*설정!$B$5*설정!$B$6,0)</f>
        <v>100</v>
      </c>
      <c r="K16" s="23">
        <f>ROUND(H16*설정!$B$5*설정!$B$7,0)</f>
        <v>156</v>
      </c>
      <c r="L16" s="23">
        <f>IF(F16=0,0,ROUND(I16*설정!$B$5*설정!$B$8,0))</f>
        <v>750</v>
      </c>
      <c r="M16" s="4">
        <f t="shared" si="0"/>
        <v>3842</v>
      </c>
      <c r="N16" s="20">
        <v>15</v>
      </c>
      <c r="O16" s="20">
        <v>1500</v>
      </c>
      <c r="P16" s="23">
        <f>ROUND(O16*설정!$B$5*설정!$B$9,0)</f>
        <v>450</v>
      </c>
      <c r="Q16" s="23">
        <f t="shared" si="1"/>
        <v>6750</v>
      </c>
      <c r="R16" s="4">
        <f t="shared" si="2"/>
        <v>10592</v>
      </c>
      <c r="S16" s="23">
        <f>SUM($R$5:R16)</f>
        <v>43929</v>
      </c>
    </row>
    <row r="17" spans="1:19" x14ac:dyDescent="0.3">
      <c r="A17" s="24" t="s">
        <v>11</v>
      </c>
      <c r="B17" s="24" t="s">
        <v>196</v>
      </c>
      <c r="C17" s="25" t="s">
        <v>197</v>
      </c>
      <c r="D17" s="26">
        <v>21</v>
      </c>
      <c r="E17" s="26">
        <v>7</v>
      </c>
      <c r="F17" s="26">
        <v>0</v>
      </c>
      <c r="G17" s="26">
        <v>1200</v>
      </c>
      <c r="H17" s="26">
        <v>1560</v>
      </c>
      <c r="I17" s="26">
        <v>0</v>
      </c>
      <c r="J17" s="24">
        <f>ROUND(G17*설정!$B$5*설정!$B$6,0)</f>
        <v>120</v>
      </c>
      <c r="K17" s="24">
        <f>ROUND(H17*설정!$B$5*설정!$B$7,0)</f>
        <v>187</v>
      </c>
      <c r="L17" s="24">
        <f>IF(F17=0,0,ROUND(I17*설정!$B$5*설정!$B$8,0))</f>
        <v>0</v>
      </c>
      <c r="M17" s="25">
        <f t="shared" si="0"/>
        <v>3829</v>
      </c>
      <c r="N17" s="26">
        <v>16</v>
      </c>
      <c r="O17" s="26">
        <v>1800</v>
      </c>
      <c r="P17" s="24">
        <f>ROUND(O17*설정!$B$5*설정!$B$9,0)</f>
        <v>540</v>
      </c>
      <c r="Q17" s="24">
        <f t="shared" si="1"/>
        <v>8640</v>
      </c>
      <c r="R17" s="25">
        <f t="shared" si="2"/>
        <v>12469</v>
      </c>
      <c r="S17" s="24">
        <f>SUM($R$5:R17)</f>
        <v>56398</v>
      </c>
    </row>
    <row r="18" spans="1:19" x14ac:dyDescent="0.3">
      <c r="A18" s="24" t="s">
        <v>11</v>
      </c>
      <c r="B18" s="24" t="s">
        <v>196</v>
      </c>
      <c r="C18" s="25" t="s">
        <v>198</v>
      </c>
      <c r="D18" s="26">
        <v>22</v>
      </c>
      <c r="E18" s="26">
        <v>8</v>
      </c>
      <c r="F18" s="26">
        <v>1</v>
      </c>
      <c r="G18" s="26">
        <v>1500</v>
      </c>
      <c r="H18" s="26">
        <v>1950</v>
      </c>
      <c r="I18" s="26">
        <v>7500</v>
      </c>
      <c r="J18" s="24">
        <f>ROUND(G18*설정!$B$5*설정!$B$6,0)</f>
        <v>150</v>
      </c>
      <c r="K18" s="24">
        <f>ROUND(H18*설정!$B$5*설정!$B$7,0)</f>
        <v>234</v>
      </c>
      <c r="L18" s="24">
        <f>IF(F18=0,0,ROUND(I18*설정!$B$5*설정!$B$8,0))</f>
        <v>1125</v>
      </c>
      <c r="M18" s="25">
        <f t="shared" si="0"/>
        <v>6297</v>
      </c>
      <c r="N18" s="26">
        <v>16</v>
      </c>
      <c r="O18" s="26">
        <v>2250</v>
      </c>
      <c r="P18" s="24">
        <f>ROUND(O18*설정!$B$5*설정!$B$9,0)</f>
        <v>675</v>
      </c>
      <c r="Q18" s="24">
        <f t="shared" si="1"/>
        <v>10800</v>
      </c>
      <c r="R18" s="25">
        <f t="shared" si="2"/>
        <v>17097</v>
      </c>
      <c r="S18" s="24">
        <f>SUM($R$5:R18)</f>
        <v>73495</v>
      </c>
    </row>
    <row r="19" spans="1:19" x14ac:dyDescent="0.3">
      <c r="A19" s="24" t="s">
        <v>11</v>
      </c>
      <c r="B19" s="24" t="s">
        <v>199</v>
      </c>
      <c r="C19" s="25" t="s">
        <v>200</v>
      </c>
      <c r="D19" s="26">
        <v>23</v>
      </c>
      <c r="E19" s="26">
        <v>8</v>
      </c>
      <c r="F19" s="26">
        <v>0</v>
      </c>
      <c r="G19" s="26">
        <v>1800</v>
      </c>
      <c r="H19" s="26">
        <v>2340</v>
      </c>
      <c r="I19" s="26">
        <v>0</v>
      </c>
      <c r="J19" s="24">
        <f>ROUND(G19*설정!$B$5*설정!$B$6,0)</f>
        <v>180</v>
      </c>
      <c r="K19" s="24">
        <f>ROUND(H19*설정!$B$5*설정!$B$7,0)</f>
        <v>281</v>
      </c>
      <c r="L19" s="24">
        <f>IF(F19=0,0,ROUND(I19*설정!$B$5*설정!$B$8,0))</f>
        <v>0</v>
      </c>
      <c r="M19" s="25">
        <f t="shared" si="0"/>
        <v>6388</v>
      </c>
      <c r="N19" s="26">
        <v>17</v>
      </c>
      <c r="O19" s="26">
        <v>2700</v>
      </c>
      <c r="P19" s="24">
        <f>ROUND(O19*설정!$B$5*설정!$B$9,0)</f>
        <v>810</v>
      </c>
      <c r="Q19" s="24">
        <f t="shared" si="1"/>
        <v>13770</v>
      </c>
      <c r="R19" s="25">
        <f t="shared" si="2"/>
        <v>20158</v>
      </c>
      <c r="S19" s="24">
        <f>SUM($R$5:R19)</f>
        <v>93653</v>
      </c>
    </row>
    <row r="20" spans="1:19" x14ac:dyDescent="0.3">
      <c r="A20" s="24" t="s">
        <v>11</v>
      </c>
      <c r="B20" s="24" t="s">
        <v>199</v>
      </c>
      <c r="C20" s="25" t="s">
        <v>201</v>
      </c>
      <c r="D20" s="26">
        <v>24</v>
      </c>
      <c r="E20" s="26">
        <v>9</v>
      </c>
      <c r="F20" s="26">
        <v>1</v>
      </c>
      <c r="G20" s="26">
        <v>2250</v>
      </c>
      <c r="H20" s="26">
        <v>2925</v>
      </c>
      <c r="I20" s="26">
        <v>11250</v>
      </c>
      <c r="J20" s="24">
        <f>ROUND(G20*설정!$B$5*설정!$B$6,0)</f>
        <v>225</v>
      </c>
      <c r="K20" s="24">
        <f>ROUND(H20*설정!$B$5*설정!$B$7,0)</f>
        <v>351</v>
      </c>
      <c r="L20" s="24">
        <f>IF(F20=0,0,ROUND(I20*설정!$B$5*설정!$B$8,0))</f>
        <v>1688</v>
      </c>
      <c r="M20" s="25">
        <f t="shared" si="0"/>
        <v>10247</v>
      </c>
      <c r="N20" s="26">
        <v>17</v>
      </c>
      <c r="O20" s="26">
        <v>3375</v>
      </c>
      <c r="P20" s="24">
        <f>ROUND(O20*설정!$B$5*설정!$B$9,0)</f>
        <v>1013</v>
      </c>
      <c r="Q20" s="24">
        <f t="shared" si="1"/>
        <v>17221</v>
      </c>
      <c r="R20" s="25">
        <f t="shared" si="2"/>
        <v>27468</v>
      </c>
      <c r="S20" s="24">
        <f>SUM($R$5:R20)</f>
        <v>121121</v>
      </c>
    </row>
    <row r="21" spans="1:19" x14ac:dyDescent="0.3">
      <c r="A21" s="23" t="s">
        <v>12</v>
      </c>
      <c r="B21" s="23" t="s">
        <v>199</v>
      </c>
      <c r="C21" s="4" t="s">
        <v>202</v>
      </c>
      <c r="D21" s="20">
        <v>25</v>
      </c>
      <c r="E21" s="20">
        <v>9</v>
      </c>
      <c r="F21" s="20">
        <v>0</v>
      </c>
      <c r="G21" s="20">
        <v>2700</v>
      </c>
      <c r="H21" s="20">
        <v>3510</v>
      </c>
      <c r="I21" s="20">
        <v>0</v>
      </c>
      <c r="J21" s="23">
        <f>ROUND(G21*설정!$B$5*설정!$B$6,0)</f>
        <v>270</v>
      </c>
      <c r="K21" s="23">
        <f>ROUND(H21*설정!$B$5*설정!$B$7,0)</f>
        <v>421</v>
      </c>
      <c r="L21" s="23">
        <f>IF(F21=0,0,ROUND(I21*설정!$B$5*설정!$B$8,0))</f>
        <v>0</v>
      </c>
      <c r="M21" s="4">
        <f t="shared" si="0"/>
        <v>10539</v>
      </c>
      <c r="N21" s="20">
        <v>18</v>
      </c>
      <c r="O21" s="20">
        <v>4050</v>
      </c>
      <c r="P21" s="23">
        <f>ROUND(O21*설정!$B$5*설정!$B$9,0)</f>
        <v>1215</v>
      </c>
      <c r="Q21" s="23">
        <f t="shared" si="1"/>
        <v>21870</v>
      </c>
      <c r="R21" s="4">
        <f t="shared" si="2"/>
        <v>32409</v>
      </c>
      <c r="S21" s="23">
        <f>SUM($R$5:R21)</f>
        <v>153530</v>
      </c>
    </row>
    <row r="22" spans="1:19" x14ac:dyDescent="0.3">
      <c r="A22" s="23" t="s">
        <v>12</v>
      </c>
      <c r="B22" s="23" t="s">
        <v>199</v>
      </c>
      <c r="C22" s="4" t="s">
        <v>203</v>
      </c>
      <c r="D22" s="20">
        <v>26</v>
      </c>
      <c r="E22" s="20">
        <v>10</v>
      </c>
      <c r="F22" s="20">
        <v>1</v>
      </c>
      <c r="G22" s="20">
        <v>3400</v>
      </c>
      <c r="H22" s="20">
        <v>4420</v>
      </c>
      <c r="I22" s="20">
        <v>17000</v>
      </c>
      <c r="J22" s="23">
        <f>ROUND(G22*설정!$B$5*설정!$B$6,0)</f>
        <v>340</v>
      </c>
      <c r="K22" s="23">
        <f>ROUND(H22*설정!$B$5*설정!$B$7,0)</f>
        <v>530</v>
      </c>
      <c r="L22" s="23">
        <f>IF(F22=0,0,ROUND(I22*설정!$B$5*설정!$B$8,0))</f>
        <v>2550</v>
      </c>
      <c r="M22" s="4">
        <f t="shared" si="0"/>
        <v>16690</v>
      </c>
      <c r="N22" s="20">
        <v>18</v>
      </c>
      <c r="O22" s="20">
        <v>5100</v>
      </c>
      <c r="P22" s="23">
        <f>ROUND(O22*설정!$B$5*설정!$B$9,0)</f>
        <v>1530</v>
      </c>
      <c r="Q22" s="23">
        <f t="shared" si="1"/>
        <v>27540</v>
      </c>
      <c r="R22" s="4">
        <f t="shared" si="2"/>
        <v>44230</v>
      </c>
      <c r="S22" s="23">
        <f>SUM($R$5:R22)</f>
        <v>197760</v>
      </c>
    </row>
    <row r="23" spans="1:19" x14ac:dyDescent="0.3">
      <c r="A23" s="23" t="s">
        <v>12</v>
      </c>
      <c r="B23" s="23" t="s">
        <v>204</v>
      </c>
      <c r="C23" s="4" t="s">
        <v>205</v>
      </c>
      <c r="D23" s="20">
        <v>27</v>
      </c>
      <c r="E23" s="20">
        <v>10</v>
      </c>
      <c r="F23" s="20">
        <v>0</v>
      </c>
      <c r="G23" s="20">
        <v>4100</v>
      </c>
      <c r="H23" s="20">
        <v>5330</v>
      </c>
      <c r="I23" s="20">
        <v>0</v>
      </c>
      <c r="J23" s="23">
        <f>ROUND(G23*설정!$B$5*설정!$B$6,0)</f>
        <v>410</v>
      </c>
      <c r="K23" s="23">
        <f>ROUND(H23*설정!$B$5*설정!$B$7,0)</f>
        <v>640</v>
      </c>
      <c r="L23" s="23">
        <f>IF(F23=0,0,ROUND(I23*설정!$B$5*설정!$B$8,0))</f>
        <v>0</v>
      </c>
      <c r="M23" s="4">
        <f t="shared" si="0"/>
        <v>17470</v>
      </c>
      <c r="N23" s="20">
        <v>19</v>
      </c>
      <c r="O23" s="20">
        <v>6150</v>
      </c>
      <c r="P23" s="23">
        <f>ROUND(O23*설정!$B$5*설정!$B$9,0)</f>
        <v>1845</v>
      </c>
      <c r="Q23" s="23">
        <f t="shared" si="1"/>
        <v>35055</v>
      </c>
      <c r="R23" s="4">
        <f t="shared" si="2"/>
        <v>52525</v>
      </c>
      <c r="S23" s="23">
        <f>SUM($R$5:R23)</f>
        <v>250285</v>
      </c>
    </row>
    <row r="24" spans="1:19" x14ac:dyDescent="0.3">
      <c r="A24" s="23" t="s">
        <v>12</v>
      </c>
      <c r="B24" s="23" t="s">
        <v>204</v>
      </c>
      <c r="C24" s="4" t="s">
        <v>141</v>
      </c>
      <c r="D24" s="20">
        <v>28</v>
      </c>
      <c r="E24" s="20">
        <v>11</v>
      </c>
      <c r="F24" s="20">
        <v>1</v>
      </c>
      <c r="G24" s="20">
        <v>5100</v>
      </c>
      <c r="H24" s="20">
        <v>6630</v>
      </c>
      <c r="I24" s="20">
        <v>25500</v>
      </c>
      <c r="J24" s="23">
        <f>ROUND(G24*설정!$B$5*설정!$B$6,0)</f>
        <v>510</v>
      </c>
      <c r="K24" s="23">
        <f>ROUND(H24*설정!$B$5*설정!$B$7,0)</f>
        <v>796</v>
      </c>
      <c r="L24" s="23">
        <f>IF(F24=0,0,ROUND(I24*설정!$B$5*설정!$B$8,0))</f>
        <v>3825</v>
      </c>
      <c r="M24" s="4">
        <f t="shared" si="0"/>
        <v>26861</v>
      </c>
      <c r="N24" s="20">
        <v>19</v>
      </c>
      <c r="O24" s="20">
        <v>7650</v>
      </c>
      <c r="P24" s="23">
        <f>ROUND(O24*설정!$B$5*설정!$B$9,0)</f>
        <v>2295</v>
      </c>
      <c r="Q24" s="23">
        <f t="shared" si="1"/>
        <v>43605</v>
      </c>
      <c r="R24" s="4">
        <f t="shared" si="2"/>
        <v>70466</v>
      </c>
      <c r="S24" s="23">
        <f>SUM($R$5:R24)</f>
        <v>320751</v>
      </c>
    </row>
    <row r="25" spans="1:19" x14ac:dyDescent="0.3">
      <c r="A25" s="24" t="s">
        <v>13</v>
      </c>
      <c r="B25" s="24" t="s">
        <v>206</v>
      </c>
      <c r="C25" s="25" t="s">
        <v>207</v>
      </c>
      <c r="D25" s="26">
        <v>29</v>
      </c>
      <c r="E25" s="26">
        <v>11</v>
      </c>
      <c r="F25" s="26">
        <v>0</v>
      </c>
      <c r="G25" s="26">
        <v>6200</v>
      </c>
      <c r="H25" s="26">
        <v>8060</v>
      </c>
      <c r="I25" s="26">
        <v>0</v>
      </c>
      <c r="J25" s="24">
        <f>ROUND(G25*설정!$B$5*설정!$B$6,0)</f>
        <v>620</v>
      </c>
      <c r="K25" s="24">
        <f>ROUND(H25*설정!$B$5*설정!$B$7,0)</f>
        <v>967</v>
      </c>
      <c r="L25" s="24">
        <f>IF(F25=0,0,ROUND(I25*설정!$B$5*설정!$B$8,0))</f>
        <v>0</v>
      </c>
      <c r="M25" s="25">
        <f t="shared" si="0"/>
        <v>28617</v>
      </c>
      <c r="N25" s="26">
        <v>20</v>
      </c>
      <c r="O25" s="26">
        <v>9300</v>
      </c>
      <c r="P25" s="24">
        <f>ROUND(O25*설정!$B$5*설정!$B$9,0)</f>
        <v>2790</v>
      </c>
      <c r="Q25" s="24">
        <f t="shared" si="1"/>
        <v>55800</v>
      </c>
      <c r="R25" s="25">
        <f t="shared" si="2"/>
        <v>84417</v>
      </c>
      <c r="S25" s="24">
        <f>SUM($R$5:R25)</f>
        <v>405168</v>
      </c>
    </row>
    <row r="26" spans="1:19" x14ac:dyDescent="0.3">
      <c r="A26" s="24" t="s">
        <v>13</v>
      </c>
      <c r="B26" s="24" t="s">
        <v>206</v>
      </c>
      <c r="C26" s="25" t="s">
        <v>208</v>
      </c>
      <c r="D26" s="26">
        <v>30</v>
      </c>
      <c r="E26" s="26">
        <v>12</v>
      </c>
      <c r="F26" s="26">
        <v>1</v>
      </c>
      <c r="G26" s="26">
        <v>7700</v>
      </c>
      <c r="H26" s="26">
        <v>10010</v>
      </c>
      <c r="I26" s="26">
        <v>38500</v>
      </c>
      <c r="J26" s="24">
        <f>ROUND(G26*설정!$B$5*설정!$B$6,0)</f>
        <v>770</v>
      </c>
      <c r="K26" s="24">
        <f>ROUND(H26*설정!$B$5*설정!$B$7,0)</f>
        <v>1201</v>
      </c>
      <c r="L26" s="24">
        <f>IF(F26=0,0,ROUND(I26*설정!$B$5*설정!$B$8,0))</f>
        <v>5775</v>
      </c>
      <c r="M26" s="25">
        <f t="shared" si="0"/>
        <v>43287</v>
      </c>
      <c r="N26" s="26">
        <v>20</v>
      </c>
      <c r="O26" s="26">
        <v>11550</v>
      </c>
      <c r="P26" s="24">
        <f>ROUND(O26*설정!$B$5*설정!$B$9,0)</f>
        <v>3465</v>
      </c>
      <c r="Q26" s="24">
        <f t="shared" si="1"/>
        <v>69300</v>
      </c>
      <c r="R26" s="25">
        <f t="shared" si="2"/>
        <v>112587</v>
      </c>
      <c r="S26" s="24">
        <f>SUM($R$5:R26)</f>
        <v>517755</v>
      </c>
    </row>
    <row r="27" spans="1:19" x14ac:dyDescent="0.3">
      <c r="A27" s="24" t="s">
        <v>13</v>
      </c>
      <c r="B27" s="24" t="s">
        <v>209</v>
      </c>
      <c r="C27" s="25" t="s">
        <v>210</v>
      </c>
      <c r="D27" s="26">
        <v>31</v>
      </c>
      <c r="E27" s="26">
        <v>12</v>
      </c>
      <c r="F27" s="26">
        <v>0</v>
      </c>
      <c r="G27" s="26">
        <v>9300</v>
      </c>
      <c r="H27" s="26">
        <v>12090</v>
      </c>
      <c r="I27" s="26">
        <v>0</v>
      </c>
      <c r="J27" s="24">
        <f>ROUND(G27*설정!$B$5*설정!$B$6,0)</f>
        <v>930</v>
      </c>
      <c r="K27" s="24">
        <f>ROUND(H27*설정!$B$5*설정!$B$7,0)</f>
        <v>1451</v>
      </c>
      <c r="L27" s="24">
        <f>IF(F27=0,0,ROUND(I27*설정!$B$5*설정!$B$8,0))</f>
        <v>0</v>
      </c>
      <c r="M27" s="25">
        <f t="shared" si="0"/>
        <v>46242</v>
      </c>
      <c r="N27" s="26">
        <v>21</v>
      </c>
      <c r="O27" s="26">
        <v>13950</v>
      </c>
      <c r="P27" s="24">
        <f>ROUND(O27*설정!$B$5*설정!$B$9,0)</f>
        <v>4185</v>
      </c>
      <c r="Q27" s="24">
        <f t="shared" si="1"/>
        <v>87885</v>
      </c>
      <c r="R27" s="25">
        <f t="shared" si="2"/>
        <v>134127</v>
      </c>
      <c r="S27" s="24">
        <f>SUM($R$5:R27)</f>
        <v>651882</v>
      </c>
    </row>
    <row r="28" spans="1:19" x14ac:dyDescent="0.3">
      <c r="A28" s="24" t="s">
        <v>13</v>
      </c>
      <c r="B28" s="24" t="s">
        <v>209</v>
      </c>
      <c r="C28" s="25" t="s">
        <v>211</v>
      </c>
      <c r="D28" s="26">
        <v>32</v>
      </c>
      <c r="E28" s="26">
        <v>13</v>
      </c>
      <c r="F28" s="26">
        <v>1</v>
      </c>
      <c r="G28" s="26">
        <v>11600</v>
      </c>
      <c r="H28" s="26">
        <v>15080</v>
      </c>
      <c r="I28" s="26">
        <v>58000</v>
      </c>
      <c r="J28" s="24">
        <f>ROUND(G28*설정!$B$5*설정!$B$6,0)</f>
        <v>1160</v>
      </c>
      <c r="K28" s="24">
        <f>ROUND(H28*설정!$B$5*설정!$B$7,0)</f>
        <v>1810</v>
      </c>
      <c r="L28" s="24">
        <f>IF(F28=0,0,ROUND(I28*설정!$B$5*설정!$B$8,0))</f>
        <v>8700</v>
      </c>
      <c r="M28" s="25">
        <f t="shared" si="0"/>
        <v>69350</v>
      </c>
      <c r="N28" s="26">
        <v>21</v>
      </c>
      <c r="O28" s="26">
        <v>17400</v>
      </c>
      <c r="P28" s="24">
        <f>ROUND(O28*설정!$B$5*설정!$B$9,0)</f>
        <v>5220</v>
      </c>
      <c r="Q28" s="24">
        <f t="shared" si="1"/>
        <v>109620</v>
      </c>
      <c r="R28" s="25">
        <f t="shared" si="2"/>
        <v>178970</v>
      </c>
      <c r="S28" s="24">
        <f>SUM($R$5:R28)</f>
        <v>830852</v>
      </c>
    </row>
    <row r="29" spans="1:19" x14ac:dyDescent="0.3">
      <c r="A29" s="23" t="s">
        <v>14</v>
      </c>
      <c r="B29" s="23" t="s">
        <v>212</v>
      </c>
      <c r="C29" s="4" t="s">
        <v>213</v>
      </c>
      <c r="D29" s="20">
        <v>33</v>
      </c>
      <c r="E29" s="20">
        <v>13</v>
      </c>
      <c r="F29" s="20">
        <v>0</v>
      </c>
      <c r="G29" s="20">
        <v>14000</v>
      </c>
      <c r="H29" s="20">
        <v>18200</v>
      </c>
      <c r="I29" s="20">
        <v>0</v>
      </c>
      <c r="J29" s="23">
        <f>ROUND(G29*설정!$B$5*설정!$B$6,0)</f>
        <v>1400</v>
      </c>
      <c r="K29" s="23">
        <f>ROUND(H29*설정!$B$5*설정!$B$7,0)</f>
        <v>2184</v>
      </c>
      <c r="L29" s="23">
        <f>IF(F29=0,0,ROUND(I29*설정!$B$5*설정!$B$8,0))</f>
        <v>0</v>
      </c>
      <c r="M29" s="4">
        <f t="shared" si="0"/>
        <v>74592</v>
      </c>
      <c r="N29" s="20">
        <v>22</v>
      </c>
      <c r="O29" s="20">
        <v>21000</v>
      </c>
      <c r="P29" s="23">
        <f>ROUND(O29*설정!$B$5*설정!$B$9,0)</f>
        <v>6300</v>
      </c>
      <c r="Q29" s="23">
        <f t="shared" si="1"/>
        <v>138600</v>
      </c>
      <c r="R29" s="4">
        <f t="shared" si="2"/>
        <v>213192</v>
      </c>
      <c r="S29" s="23">
        <f>SUM($R$5:R29)</f>
        <v>1044044</v>
      </c>
    </row>
    <row r="30" spans="1:19" x14ac:dyDescent="0.3">
      <c r="A30" s="23" t="s">
        <v>14</v>
      </c>
      <c r="B30" s="23" t="s">
        <v>212</v>
      </c>
      <c r="C30" s="4" t="s">
        <v>214</v>
      </c>
      <c r="D30" s="20">
        <v>34</v>
      </c>
      <c r="E30" s="20">
        <v>14</v>
      </c>
      <c r="F30" s="20">
        <v>1</v>
      </c>
      <c r="G30" s="20">
        <v>17500</v>
      </c>
      <c r="H30" s="20">
        <v>22750</v>
      </c>
      <c r="I30" s="20">
        <v>87500</v>
      </c>
      <c r="J30" s="23">
        <f>ROUND(G30*설정!$B$5*설정!$B$6,0)</f>
        <v>1750</v>
      </c>
      <c r="K30" s="23">
        <f>ROUND(H30*설정!$B$5*설정!$B$7,0)</f>
        <v>2730</v>
      </c>
      <c r="L30" s="23">
        <f>IF(F30=0,0,ROUND(I30*설정!$B$5*설정!$B$8,0))</f>
        <v>13125</v>
      </c>
      <c r="M30" s="4">
        <f t="shared" si="0"/>
        <v>110845</v>
      </c>
      <c r="N30" s="20">
        <v>22</v>
      </c>
      <c r="O30" s="20">
        <v>26250</v>
      </c>
      <c r="P30" s="23">
        <f>ROUND(O30*설정!$B$5*설정!$B$9,0)</f>
        <v>7875</v>
      </c>
      <c r="Q30" s="23">
        <f t="shared" si="1"/>
        <v>173250</v>
      </c>
      <c r="R30" s="4">
        <f t="shared" si="2"/>
        <v>284095</v>
      </c>
      <c r="S30" s="23">
        <f>SUM($R$5:R30)</f>
        <v>1328139</v>
      </c>
    </row>
    <row r="31" spans="1:19" x14ac:dyDescent="0.3">
      <c r="A31" s="23" t="s">
        <v>14</v>
      </c>
      <c r="B31" s="23" t="s">
        <v>215</v>
      </c>
      <c r="C31" s="4" t="s">
        <v>216</v>
      </c>
      <c r="D31" s="20">
        <v>35</v>
      </c>
      <c r="E31" s="20">
        <v>14</v>
      </c>
      <c r="F31" s="20">
        <v>0</v>
      </c>
      <c r="G31" s="20">
        <v>21000</v>
      </c>
      <c r="H31" s="20">
        <v>27300</v>
      </c>
      <c r="I31" s="20">
        <v>0</v>
      </c>
      <c r="J31" s="23">
        <f>ROUND(G31*설정!$B$5*설정!$B$6,0)</f>
        <v>2100</v>
      </c>
      <c r="K31" s="23">
        <f>ROUND(H31*설정!$B$5*설정!$B$7,0)</f>
        <v>3276</v>
      </c>
      <c r="L31" s="23">
        <f>IF(F31=0,0,ROUND(I31*설정!$B$5*설정!$B$8,0))</f>
        <v>0</v>
      </c>
      <c r="M31" s="4">
        <f t="shared" si="0"/>
        <v>119364</v>
      </c>
      <c r="N31" s="20">
        <v>23</v>
      </c>
      <c r="O31" s="20">
        <v>31500</v>
      </c>
      <c r="P31" s="23">
        <f>ROUND(O31*설정!$B$5*설정!$B$9,0)</f>
        <v>9450</v>
      </c>
      <c r="Q31" s="23">
        <f t="shared" si="1"/>
        <v>217350</v>
      </c>
      <c r="R31" s="4">
        <f t="shared" si="2"/>
        <v>336714</v>
      </c>
      <c r="S31" s="23">
        <f>SUM($R$5:R31)</f>
        <v>1664853</v>
      </c>
    </row>
    <row r="32" spans="1:19" x14ac:dyDescent="0.3">
      <c r="A32" s="23" t="s">
        <v>14</v>
      </c>
      <c r="B32" s="23" t="s">
        <v>215</v>
      </c>
      <c r="C32" s="4" t="s">
        <v>143</v>
      </c>
      <c r="D32" s="20">
        <v>36</v>
      </c>
      <c r="E32" s="20">
        <v>15</v>
      </c>
      <c r="F32" s="20">
        <v>1</v>
      </c>
      <c r="G32" s="20">
        <v>26000</v>
      </c>
      <c r="H32" s="20">
        <v>33800</v>
      </c>
      <c r="I32" s="20">
        <v>130000</v>
      </c>
      <c r="J32" s="23">
        <f>ROUND(G32*설정!$B$5*설정!$B$6,0)</f>
        <v>2600</v>
      </c>
      <c r="K32" s="23">
        <f>ROUND(H32*설정!$B$5*설정!$B$7,0)</f>
        <v>4056</v>
      </c>
      <c r="L32" s="23">
        <f>IF(F32=0,0,ROUND(I32*설정!$B$5*설정!$B$8,0))</f>
        <v>19500</v>
      </c>
      <c r="M32" s="4">
        <f t="shared" si="0"/>
        <v>173940</v>
      </c>
      <c r="N32" s="20">
        <v>23</v>
      </c>
      <c r="O32" s="20">
        <v>39000</v>
      </c>
      <c r="P32" s="23">
        <f>ROUND(O32*설정!$B$5*설정!$B$9,0)</f>
        <v>11700</v>
      </c>
      <c r="Q32" s="23">
        <f t="shared" si="1"/>
        <v>269100</v>
      </c>
      <c r="R32" s="4">
        <f t="shared" si="2"/>
        <v>443040</v>
      </c>
      <c r="S32" s="23">
        <f>SUM($R$5:R32)</f>
        <v>2107893</v>
      </c>
    </row>
    <row r="33" spans="1:19" x14ac:dyDescent="0.3">
      <c r="A33" s="133" t="s">
        <v>15</v>
      </c>
      <c r="B33" s="134"/>
      <c r="C33" s="135"/>
      <c r="D33" s="9">
        <f>SUM(D5:D32)</f>
        <v>630</v>
      </c>
      <c r="E33" s="9">
        <f>SUM(E5:E32)</f>
        <v>224</v>
      </c>
      <c r="F33" s="9">
        <f>SUM(F5:F32)</f>
        <v>14</v>
      </c>
      <c r="G33" s="9"/>
      <c r="H33" s="9"/>
      <c r="I33" s="9"/>
      <c r="J33" s="9"/>
      <c r="K33" s="9"/>
      <c r="L33" s="9"/>
      <c r="M33" s="9">
        <f>SUM(M5:M32)</f>
        <v>778681</v>
      </c>
      <c r="N33" s="9">
        <f>SUM(N5:N32)</f>
        <v>462</v>
      </c>
      <c r="O33" s="9"/>
      <c r="P33" s="9"/>
      <c r="Q33" s="9">
        <f>SUM(Q5:Q32)</f>
        <v>1329212</v>
      </c>
      <c r="R33" s="9">
        <f>SUM(R5:R32)</f>
        <v>2107893</v>
      </c>
      <c r="S33" s="9"/>
    </row>
  </sheetData>
  <mergeCells count="7">
    <mergeCell ref="R3:S3"/>
    <mergeCell ref="A33:C33"/>
    <mergeCell ref="J3:M3"/>
    <mergeCell ref="N3:Q3"/>
    <mergeCell ref="D3:F3"/>
    <mergeCell ref="A3:C3"/>
    <mergeCell ref="G3:I3"/>
  </mergeCells>
  <phoneticPr fontId="9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3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7" customWidth="1"/>
    <col min="2" max="3" width="8" customWidth="1"/>
    <col min="4" max="4" width="6" customWidth="1"/>
    <col min="5" max="5" width="7" customWidth="1"/>
    <col min="6" max="7" width="9" customWidth="1"/>
    <col min="8" max="11" width="10" customWidth="1"/>
    <col min="12" max="13" width="11" customWidth="1"/>
    <col min="14" max="14" width="10" customWidth="1"/>
    <col min="15" max="15" width="12" customWidth="1"/>
    <col min="16" max="16" width="13" customWidth="1"/>
    <col min="17" max="17" width="9" customWidth="1"/>
    <col min="18" max="18" width="14" customWidth="1"/>
    <col min="19" max="19" width="58" customWidth="1"/>
  </cols>
  <sheetData>
    <row r="1" spans="1:19" ht="20.25" customHeight="1" x14ac:dyDescent="0.3">
      <c r="A1" s="31" t="s">
        <v>217</v>
      </c>
    </row>
    <row r="2" spans="1:19" x14ac:dyDescent="0.3">
      <c r="A2" s="32" t="s">
        <v>218</v>
      </c>
    </row>
    <row r="4" spans="1:19" ht="27" customHeight="1" x14ac:dyDescent="0.3">
      <c r="A4" s="36" t="s">
        <v>2</v>
      </c>
      <c r="B4" s="36" t="s">
        <v>171</v>
      </c>
      <c r="C4" s="36" t="s">
        <v>80</v>
      </c>
      <c r="D4" s="36" t="s">
        <v>219</v>
      </c>
      <c r="E4" s="36" t="s">
        <v>220</v>
      </c>
      <c r="F4" s="36" t="s">
        <v>81</v>
      </c>
      <c r="G4" s="36" t="s">
        <v>147</v>
      </c>
      <c r="H4" s="36" t="s">
        <v>221</v>
      </c>
      <c r="I4" s="36" t="s">
        <v>222</v>
      </c>
      <c r="J4" s="36" t="s">
        <v>223</v>
      </c>
      <c r="K4" s="36" t="s">
        <v>224</v>
      </c>
      <c r="L4" s="36" t="s">
        <v>225</v>
      </c>
      <c r="M4" s="36" t="s">
        <v>226</v>
      </c>
      <c r="N4" s="36" t="s">
        <v>227</v>
      </c>
      <c r="O4" s="36" t="s">
        <v>228</v>
      </c>
      <c r="P4" s="36" t="s">
        <v>229</v>
      </c>
      <c r="Q4" s="36" t="s">
        <v>230</v>
      </c>
      <c r="R4" s="36" t="s">
        <v>91</v>
      </c>
      <c r="S4" s="36" t="s">
        <v>125</v>
      </c>
    </row>
    <row r="5" spans="1:19" x14ac:dyDescent="0.3">
      <c r="A5" s="38" t="str">
        <f>'스테이지별 골드'!A5</f>
        <v>원시</v>
      </c>
      <c r="B5" s="38" t="str">
        <f>'스테이지별 골드'!B5</f>
        <v>공룡</v>
      </c>
      <c r="C5" s="46" t="str">
        <f>'스테이지별 골드'!C5</f>
        <v>1-1</v>
      </c>
      <c r="D5" s="52">
        <f t="shared" ref="D5:D32" si="0">ROW()-4</f>
        <v>1</v>
      </c>
      <c r="E5" s="52">
        <f t="shared" ref="E5:E32" si="1">INT((D5-1)/4)+1</f>
        <v>1</v>
      </c>
      <c r="F5" s="57" t="s">
        <v>152</v>
      </c>
      <c r="G5" s="58">
        <f>INDEX(설정!$B$44:$B$48,MATCH(F5,설정!$A$44:$A$48,0))+INDEX(설정!$C$44:$C$48,MATCH(F5,설정!$A$44:$A$48,0))*(E5-1)</f>
        <v>1</v>
      </c>
      <c r="H5" s="39">
        <f>'스테이지별 골드'!G5</f>
        <v>100</v>
      </c>
      <c r="I5" s="59">
        <f>ROUND(H5*INDEX(설정!$D$44:$D$48,MATCH(F5,설정!$A$44:$A$48,0)),0)</f>
        <v>100</v>
      </c>
      <c r="J5" s="39">
        <f>'스테이지별 골드'!H5</f>
        <v>130</v>
      </c>
      <c r="K5" s="59">
        <f>ROUND(J5*INDEX(설정!$E$44:$E$48,MATCH(F5,설정!$A$44:$A$48,0)),0)</f>
        <v>130</v>
      </c>
      <c r="L5" s="39">
        <f>'스테이지별 골드'!I5</f>
        <v>0</v>
      </c>
      <c r="M5" s="59">
        <f>ROUND(L5*INDEX(설정!$F$44:$F$48,MATCH(F5,설정!$A$44:$A$48,0)),0)</f>
        <v>0</v>
      </c>
      <c r="N5" s="60" t="s">
        <v>231</v>
      </c>
      <c r="O5" s="59">
        <f>SUMIFS('드랍 구성 (개편)'!$AB$5:$AB$102,'드랍 구성 (개편)'!$B$5:$B$102,C5,'드랍 구성 (개편)'!$A$5:$A$102,"&lt;&gt;황금 (보너스)")+설정!$B$50*SUMIFS('드랍 구성 (개편)'!$AB$5:$AB$102,'드랍 구성 (개편)'!$B$5:$B$102,C5,'드랍 구성 (개편)'!$A$5:$A$102,"황금 (보너스)")</f>
        <v>244</v>
      </c>
      <c r="P5" s="59">
        <v>0</v>
      </c>
      <c r="Q5" s="58">
        <f>SUM($G$5:G5)</f>
        <v>1</v>
      </c>
      <c r="R5" s="37" t="s">
        <v>232</v>
      </c>
      <c r="S5" s="44" t="s">
        <v>233</v>
      </c>
    </row>
    <row r="6" spans="1:19" x14ac:dyDescent="0.3">
      <c r="A6" s="38" t="str">
        <f>'스테이지별 골드'!A6</f>
        <v>원시</v>
      </c>
      <c r="B6" s="38" t="str">
        <f>'스테이지별 골드'!B6</f>
        <v>공룡</v>
      </c>
      <c r="C6" s="46" t="str">
        <f>'스테이지별 골드'!C6</f>
        <v>1-2</v>
      </c>
      <c r="D6" s="52">
        <f t="shared" si="0"/>
        <v>2</v>
      </c>
      <c r="E6" s="52">
        <f t="shared" si="1"/>
        <v>1</v>
      </c>
      <c r="F6" s="57" t="s">
        <v>158</v>
      </c>
      <c r="G6" s="58">
        <f>INDEX(설정!$B$44:$B$48,MATCH(F6,설정!$A$44:$A$48,0))+INDEX(설정!$C$44:$C$48,MATCH(F6,설정!$A$44:$A$48,0))*(E6-1)</f>
        <v>1.5</v>
      </c>
      <c r="H6" s="39">
        <f>'스테이지별 골드'!G6</f>
        <v>125</v>
      </c>
      <c r="I6" s="59">
        <f>ROUND(H6*INDEX(설정!$D$44:$D$48,MATCH(F6,설정!$A$44:$A$48,0)),0)</f>
        <v>125</v>
      </c>
      <c r="J6" s="39">
        <f>'스테이지별 골드'!H6</f>
        <v>165</v>
      </c>
      <c r="K6" s="59">
        <f>ROUND(J6*INDEX(설정!$E$44:$E$48,MATCH(F6,설정!$A$44:$A$48,0)),0)</f>
        <v>165</v>
      </c>
      <c r="L6" s="39">
        <f>'스테이지별 골드'!I6</f>
        <v>625</v>
      </c>
      <c r="M6" s="59">
        <f>ROUND(L6*INDEX(설정!$F$44:$F$48,MATCH(F6,설정!$A$44:$A$48,0)),0)</f>
        <v>688</v>
      </c>
      <c r="N6" s="60">
        <f t="shared" ref="N6:N32" si="2">I6/I5-1</f>
        <v>0.25</v>
      </c>
      <c r="O6" s="59">
        <f>SUMIFS('드랍 구성 (개편)'!$AB$5:$AB$102,'드랍 구성 (개편)'!$B$5:$B$102,C6,'드랍 구성 (개편)'!$A$5:$A$102,"&lt;&gt;황금 (보너스)")+설정!$B$50*SUMIFS('드랍 구성 (개편)'!$AB$5:$AB$102,'드랍 구성 (개편)'!$B$5:$B$102,C6,'드랍 구성 (개편)'!$A$5:$A$102,"황금 (보너스)")</f>
        <v>450</v>
      </c>
      <c r="P6" s="59">
        <f t="shared" ref="P6:P32" si="3">ROUND(G6*O5,0)</f>
        <v>366</v>
      </c>
      <c r="Q6" s="58">
        <f>SUM($G$5:G6)</f>
        <v>2.5</v>
      </c>
      <c r="R6" s="37" t="str">
        <f>IFERROR(INDEX(설정!$A$34:$A$39,MATCH(D6,설정!$C$34:$C$39,0)),"")</f>
        <v/>
      </c>
      <c r="S6" s="44" t="s">
        <v>234</v>
      </c>
    </row>
    <row r="7" spans="1:19" x14ac:dyDescent="0.3">
      <c r="A7" s="38" t="str">
        <f>'스테이지별 골드'!A7</f>
        <v>원시</v>
      </c>
      <c r="B7" s="38" t="str">
        <f>'스테이지별 골드'!B7</f>
        <v>원시인</v>
      </c>
      <c r="C7" s="46" t="str">
        <f>'스테이지별 골드'!C7</f>
        <v>1-3</v>
      </c>
      <c r="D7" s="52">
        <f t="shared" si="0"/>
        <v>3</v>
      </c>
      <c r="E7" s="52">
        <f t="shared" si="1"/>
        <v>1</v>
      </c>
      <c r="F7" s="57" t="s">
        <v>156</v>
      </c>
      <c r="G7" s="58">
        <f>INDEX(설정!$B$44:$B$48,MATCH(F7,설정!$A$44:$A$48,0))+INDEX(설정!$C$44:$C$48,MATCH(F7,설정!$A$44:$A$48,0))*(E7-1)</f>
        <v>1</v>
      </c>
      <c r="H7" s="39">
        <f>'스테이지별 골드'!G7</f>
        <v>150</v>
      </c>
      <c r="I7" s="59">
        <f>ROUND(H7*INDEX(설정!$D$44:$D$48,MATCH(F7,설정!$A$44:$A$48,0)),0)</f>
        <v>150</v>
      </c>
      <c r="J7" s="39">
        <f>'스테이지별 골드'!H7</f>
        <v>200</v>
      </c>
      <c r="K7" s="59">
        <f>ROUND(J7*INDEX(설정!$E$44:$E$48,MATCH(F7,설정!$A$44:$A$48,0)),0)</f>
        <v>200</v>
      </c>
      <c r="L7" s="39">
        <f>'스테이지별 골드'!I7</f>
        <v>0</v>
      </c>
      <c r="M7" s="59">
        <f>ROUND(L7*INDEX(설정!$F$44:$F$48,MATCH(F7,설정!$A$44:$A$48,0)),0)</f>
        <v>0</v>
      </c>
      <c r="N7" s="60">
        <f t="shared" si="2"/>
        <v>0.19999999999999996</v>
      </c>
      <c r="O7" s="59">
        <f>SUMIFS('드랍 구성 (개편)'!$AB$5:$AB$102,'드랍 구성 (개편)'!$B$5:$B$102,C7,'드랍 구성 (개편)'!$A$5:$A$102,"&lt;&gt;황금 (보너스)")+설정!$B$50*SUMIFS('드랍 구성 (개편)'!$AB$5:$AB$102,'드랍 구성 (개편)'!$B$5:$B$102,C7,'드랍 구성 (개편)'!$A$5:$A$102,"황금 (보너스)")</f>
        <v>423.1</v>
      </c>
      <c r="P7" s="59">
        <f t="shared" si="3"/>
        <v>450</v>
      </c>
      <c r="Q7" s="58">
        <f>SUM($G$5:G7)</f>
        <v>3.5</v>
      </c>
      <c r="R7" s="37" t="str">
        <f>IFERROR(INDEX(설정!$A$34:$A$39,MATCH(D7,설정!$C$34:$C$39,0)),"")</f>
        <v/>
      </c>
      <c r="S7" s="44" t="s">
        <v>235</v>
      </c>
    </row>
    <row r="8" spans="1:19" x14ac:dyDescent="0.3">
      <c r="A8" s="38" t="str">
        <f>'스테이지별 골드'!A8</f>
        <v>원시</v>
      </c>
      <c r="B8" s="38" t="str">
        <f>'스테이지별 골드'!B8</f>
        <v>원시인</v>
      </c>
      <c r="C8" s="46" t="str">
        <f>'스테이지별 골드'!C8</f>
        <v>1-4</v>
      </c>
      <c r="D8" s="52">
        <f t="shared" si="0"/>
        <v>4</v>
      </c>
      <c r="E8" s="52">
        <f t="shared" si="1"/>
        <v>1</v>
      </c>
      <c r="F8" s="61" t="s">
        <v>160</v>
      </c>
      <c r="G8" s="58">
        <f>INDEX(설정!$B$44:$B$48,MATCH(F8,설정!$A$44:$A$48,0))+INDEX(설정!$C$44:$C$48,MATCH(F8,설정!$A$44:$A$48,0))*(E8-1)</f>
        <v>2</v>
      </c>
      <c r="H8" s="39">
        <f>'스테이지별 골드'!G8</f>
        <v>190</v>
      </c>
      <c r="I8" s="59">
        <f>ROUND(H8*INDEX(설정!$D$44:$D$48,MATCH(F8,설정!$A$44:$A$48,0)),0)</f>
        <v>190</v>
      </c>
      <c r="J8" s="39">
        <f>'스테이지별 골드'!H8</f>
        <v>250</v>
      </c>
      <c r="K8" s="59">
        <f>ROUND(J8*INDEX(설정!$E$44:$E$48,MATCH(F8,설정!$A$44:$A$48,0)),0)</f>
        <v>325</v>
      </c>
      <c r="L8" s="39">
        <f>'스테이지별 골드'!I8</f>
        <v>950</v>
      </c>
      <c r="M8" s="59">
        <f>ROUND(L8*INDEX(설정!$F$44:$F$48,MATCH(F8,설정!$A$44:$A$48,0)),0)</f>
        <v>1235</v>
      </c>
      <c r="N8" s="60">
        <f t="shared" si="2"/>
        <v>0.26666666666666661</v>
      </c>
      <c r="O8" s="59">
        <f>SUMIFS('드랍 구성 (개편)'!$AB$5:$AB$102,'드랍 구성 (개편)'!$B$5:$B$102,C8,'드랍 구성 (개편)'!$A$5:$A$102,"&lt;&gt;황금 (보너스)")+설정!$B$50*SUMIFS('드랍 구성 (개편)'!$AB$5:$AB$102,'드랍 구성 (개편)'!$B$5:$B$102,C8,'드랍 구성 (개편)'!$A$5:$A$102,"황금 (보너스)")</f>
        <v>747.09999999999991</v>
      </c>
      <c r="P8" s="59">
        <f t="shared" si="3"/>
        <v>846</v>
      </c>
      <c r="Q8" s="58">
        <f>SUM($G$5:G8)</f>
        <v>5.5</v>
      </c>
      <c r="R8" s="37" t="str">
        <f>IFERROR(INDEX(설정!$A$34:$A$39,MATCH(D8,설정!$C$34:$C$39,0)),"")</f>
        <v>사파이어</v>
      </c>
      <c r="S8" s="44" t="s">
        <v>236</v>
      </c>
    </row>
    <row r="9" spans="1:19" x14ac:dyDescent="0.3">
      <c r="A9" s="38" t="str">
        <f>'스테이지별 골드'!A9</f>
        <v>고대</v>
      </c>
      <c r="B9" s="38" t="str">
        <f>'스테이지별 골드'!B9</f>
        <v>이집트</v>
      </c>
      <c r="C9" s="46" t="str">
        <f>'스테이지별 골드'!C9</f>
        <v>2-1</v>
      </c>
      <c r="D9" s="52">
        <f t="shared" si="0"/>
        <v>5</v>
      </c>
      <c r="E9" s="52">
        <f t="shared" si="1"/>
        <v>2</v>
      </c>
      <c r="F9" s="57" t="s">
        <v>154</v>
      </c>
      <c r="G9" s="58">
        <f>INDEX(설정!$B$44:$B$48,MATCH(F9,설정!$A$44:$A$48,0))+INDEX(설정!$C$44:$C$48,MATCH(F9,설정!$A$44:$A$48,0))*(E9-1)</f>
        <v>1</v>
      </c>
      <c r="H9" s="39">
        <f>'스테이지별 골드'!G9</f>
        <v>230</v>
      </c>
      <c r="I9" s="59">
        <f>ROUND(H9*INDEX(설정!$D$44:$D$48,MATCH(F9,설정!$A$44:$A$48,0)),0)</f>
        <v>207</v>
      </c>
      <c r="J9" s="39">
        <f>'스테이지별 골드'!H9</f>
        <v>300</v>
      </c>
      <c r="K9" s="59">
        <f>ROUND(J9*INDEX(설정!$E$44:$E$48,MATCH(F9,설정!$A$44:$A$48,0)),0)</f>
        <v>270</v>
      </c>
      <c r="L9" s="39">
        <f>'스테이지별 골드'!I9</f>
        <v>0</v>
      </c>
      <c r="M9" s="59">
        <f>ROUND(L9*INDEX(설정!$F$44:$F$48,MATCH(F9,설정!$A$44:$A$48,0)),0)</f>
        <v>0</v>
      </c>
      <c r="N9" s="60">
        <f t="shared" si="2"/>
        <v>8.9473684210526372E-2</v>
      </c>
      <c r="O9" s="59">
        <f>SUMIFS('드랍 구성 (개편)'!$AB$5:$AB$102,'드랍 구성 (개편)'!$B$5:$B$102,C9,'드랍 구성 (개편)'!$A$5:$A$102,"&lt;&gt;황금 (보너스)")+설정!$B$50*SUMIFS('드랍 구성 (개편)'!$AB$5:$AB$102,'드랍 구성 (개편)'!$B$5:$B$102,C9,'드랍 구성 (개편)'!$A$5:$A$102,"황금 (보너스)")</f>
        <v>804</v>
      </c>
      <c r="P9" s="59">
        <f t="shared" si="3"/>
        <v>747</v>
      </c>
      <c r="Q9" s="58">
        <f>SUM($G$5:G9)</f>
        <v>6.5</v>
      </c>
      <c r="R9" s="37" t="str">
        <f>IFERROR(INDEX(설정!$A$34:$A$39,MATCH(D9,설정!$C$34:$C$39,0)),"")</f>
        <v/>
      </c>
      <c r="S9" s="44" t="s">
        <v>237</v>
      </c>
    </row>
    <row r="10" spans="1:19" x14ac:dyDescent="0.3">
      <c r="A10" s="38" t="str">
        <f>'스테이지별 골드'!A10</f>
        <v>고대</v>
      </c>
      <c r="B10" s="38" t="str">
        <f>'스테이지별 골드'!B10</f>
        <v>이집트</v>
      </c>
      <c r="C10" s="46" t="str">
        <f>'스테이지별 골드'!C10</f>
        <v>2-2</v>
      </c>
      <c r="D10" s="52">
        <f t="shared" si="0"/>
        <v>6</v>
      </c>
      <c r="E10" s="52">
        <f t="shared" si="1"/>
        <v>2</v>
      </c>
      <c r="F10" s="57" t="s">
        <v>158</v>
      </c>
      <c r="G10" s="58">
        <f>INDEX(설정!$B$44:$B$48,MATCH(F10,설정!$A$44:$A$48,0))+INDEX(설정!$C$44:$C$48,MATCH(F10,설정!$A$44:$A$48,0))*(E10-1)</f>
        <v>1.5</v>
      </c>
      <c r="H10" s="39">
        <f>'스테이지별 골드'!G10</f>
        <v>290</v>
      </c>
      <c r="I10" s="59">
        <f>ROUND(H10*INDEX(설정!$D$44:$D$48,MATCH(F10,설정!$A$44:$A$48,0)),0)</f>
        <v>290</v>
      </c>
      <c r="J10" s="39">
        <f>'스테이지별 골드'!H10</f>
        <v>380</v>
      </c>
      <c r="K10" s="59">
        <f>ROUND(J10*INDEX(설정!$E$44:$E$48,MATCH(F10,설정!$A$44:$A$48,0)),0)</f>
        <v>380</v>
      </c>
      <c r="L10" s="39">
        <f>'스테이지별 골드'!I10</f>
        <v>1450</v>
      </c>
      <c r="M10" s="59">
        <f>ROUND(L10*INDEX(설정!$F$44:$F$48,MATCH(F10,설정!$A$44:$A$48,0)),0)</f>
        <v>1595</v>
      </c>
      <c r="N10" s="60">
        <f t="shared" si="2"/>
        <v>0.40096618357487923</v>
      </c>
      <c r="O10" s="59">
        <f>SUMIFS('드랍 구성 (개편)'!$AB$5:$AB$102,'드랍 구성 (개편)'!$B$5:$B$102,C10,'드랍 구성 (개편)'!$A$5:$A$102,"&lt;&gt;황금 (보너스)")+설정!$B$50*SUMIFS('드랍 구성 (개편)'!$AB$5:$AB$102,'드랍 구성 (개편)'!$B$5:$B$102,C10,'드랍 구성 (개편)'!$A$5:$A$102,"황금 (보너스)")</f>
        <v>1236</v>
      </c>
      <c r="P10" s="59">
        <f t="shared" si="3"/>
        <v>1206</v>
      </c>
      <c r="Q10" s="58">
        <f>SUM($G$5:G10)</f>
        <v>8</v>
      </c>
      <c r="R10" s="37" t="str">
        <f>IFERROR(INDEX(설정!$A$34:$A$39,MATCH(D10,설정!$C$34:$C$39,0)),"")</f>
        <v/>
      </c>
      <c r="S10" s="44" t="s">
        <v>234</v>
      </c>
    </row>
    <row r="11" spans="1:19" x14ac:dyDescent="0.3">
      <c r="A11" s="38" t="str">
        <f>'스테이지별 골드'!A11</f>
        <v>고대</v>
      </c>
      <c r="B11" s="38" t="str">
        <f>'스테이지별 골드'!B11</f>
        <v>그리스</v>
      </c>
      <c r="C11" s="46" t="str">
        <f>'스테이지별 골드'!C11</f>
        <v>2-3</v>
      </c>
      <c r="D11" s="52">
        <f t="shared" si="0"/>
        <v>7</v>
      </c>
      <c r="E11" s="52">
        <f t="shared" si="1"/>
        <v>2</v>
      </c>
      <c r="F11" s="57" t="s">
        <v>156</v>
      </c>
      <c r="G11" s="58">
        <f>INDEX(설정!$B$44:$B$48,MATCH(F11,설정!$A$44:$A$48,0))+INDEX(설정!$C$44:$C$48,MATCH(F11,설정!$A$44:$A$48,0))*(E11-1)</f>
        <v>1</v>
      </c>
      <c r="H11" s="39">
        <f>'스테이지별 골드'!G11</f>
        <v>350</v>
      </c>
      <c r="I11" s="59">
        <f>ROUND(H11*INDEX(설정!$D$44:$D$48,MATCH(F11,설정!$A$44:$A$48,0)),0)</f>
        <v>350</v>
      </c>
      <c r="J11" s="39">
        <f>'스테이지별 골드'!H11</f>
        <v>460</v>
      </c>
      <c r="K11" s="59">
        <f>ROUND(J11*INDEX(설정!$E$44:$E$48,MATCH(F11,설정!$A$44:$A$48,0)),0)</f>
        <v>460</v>
      </c>
      <c r="L11" s="39">
        <f>'스테이지별 골드'!I11</f>
        <v>0</v>
      </c>
      <c r="M11" s="59">
        <f>ROUND(L11*INDEX(설정!$F$44:$F$48,MATCH(F11,설정!$A$44:$A$48,0)),0)</f>
        <v>0</v>
      </c>
      <c r="N11" s="60">
        <f t="shared" si="2"/>
        <v>0.2068965517241379</v>
      </c>
      <c r="O11" s="59">
        <f>SUMIFS('드랍 구성 (개편)'!$AB$5:$AB$102,'드랍 구성 (개편)'!$B$5:$B$102,C11,'드랍 구성 (개편)'!$A$5:$A$102,"&lt;&gt;황금 (보너스)")+설정!$B$50*SUMIFS('드랍 구성 (개편)'!$AB$5:$AB$102,'드랍 구성 (개편)'!$B$5:$B$102,C11,'드랍 구성 (개편)'!$A$5:$A$102,"황금 (보너스)")</f>
        <v>1399.5</v>
      </c>
      <c r="P11" s="59">
        <f t="shared" si="3"/>
        <v>1236</v>
      </c>
      <c r="Q11" s="58">
        <f>SUM($G$5:G11)</f>
        <v>9</v>
      </c>
      <c r="R11" s="37" t="str">
        <f>IFERROR(INDEX(설정!$A$34:$A$39,MATCH(D11,설정!$C$34:$C$39,0)),"")</f>
        <v/>
      </c>
      <c r="S11" s="44" t="s">
        <v>235</v>
      </c>
    </row>
    <row r="12" spans="1:19" x14ac:dyDescent="0.3">
      <c r="A12" s="38" t="str">
        <f>'스테이지별 골드'!A12</f>
        <v>고대</v>
      </c>
      <c r="B12" s="38" t="str">
        <f>'스테이지별 골드'!B12</f>
        <v>그리스</v>
      </c>
      <c r="C12" s="46" t="str">
        <f>'스테이지별 골드'!C12</f>
        <v>2-4</v>
      </c>
      <c r="D12" s="52">
        <f t="shared" si="0"/>
        <v>8</v>
      </c>
      <c r="E12" s="52">
        <f t="shared" si="1"/>
        <v>2</v>
      </c>
      <c r="F12" s="61" t="s">
        <v>160</v>
      </c>
      <c r="G12" s="58">
        <f>INDEX(설정!$B$44:$B$48,MATCH(F12,설정!$A$44:$A$48,0))+INDEX(설정!$C$44:$C$48,MATCH(F12,설정!$A$44:$A$48,0))*(E12-1)</f>
        <v>2.5</v>
      </c>
      <c r="H12" s="39">
        <f>'스테이지별 골드'!G12</f>
        <v>440</v>
      </c>
      <c r="I12" s="59">
        <f>ROUND(H12*INDEX(설정!$D$44:$D$48,MATCH(F12,설정!$A$44:$A$48,0)),0)</f>
        <v>440</v>
      </c>
      <c r="J12" s="39">
        <f>'스테이지별 골드'!H12</f>
        <v>575</v>
      </c>
      <c r="K12" s="59">
        <f>ROUND(J12*INDEX(설정!$E$44:$E$48,MATCH(F12,설정!$A$44:$A$48,0)),0)</f>
        <v>748</v>
      </c>
      <c r="L12" s="39">
        <f>'스테이지별 골드'!I12</f>
        <v>2200</v>
      </c>
      <c r="M12" s="59">
        <f>ROUND(L12*INDEX(설정!$F$44:$F$48,MATCH(F12,설정!$A$44:$A$48,0)),0)</f>
        <v>2860</v>
      </c>
      <c r="N12" s="60">
        <f t="shared" si="2"/>
        <v>0.25714285714285712</v>
      </c>
      <c r="O12" s="59">
        <f>SUMIFS('드랍 구성 (개편)'!$AB$5:$AB$102,'드랍 구성 (개편)'!$B$5:$B$102,C12,'드랍 구성 (개편)'!$A$5:$A$102,"&lt;&gt;황금 (보너스)")+설정!$B$50*SUMIFS('드랍 구성 (개편)'!$AB$5:$AB$102,'드랍 구성 (개편)'!$B$5:$B$102,C12,'드랍 구성 (개편)'!$A$5:$A$102,"황금 (보너스)")</f>
        <v>2135</v>
      </c>
      <c r="P12" s="59">
        <f t="shared" si="3"/>
        <v>3499</v>
      </c>
      <c r="Q12" s="58">
        <f>SUM($G$5:G12)</f>
        <v>11.5</v>
      </c>
      <c r="R12" s="37" t="str">
        <f>IFERROR(INDEX(설정!$A$34:$A$39,MATCH(D12,설정!$C$34:$C$39,0)),"")</f>
        <v/>
      </c>
      <c r="S12" s="44" t="s">
        <v>236</v>
      </c>
    </row>
    <row r="13" spans="1:19" x14ac:dyDescent="0.3">
      <c r="A13" s="38" t="str">
        <f>'스테이지별 골드'!A13</f>
        <v>중세</v>
      </c>
      <c r="B13" s="38" t="str">
        <f>'스테이지별 골드'!B13</f>
        <v>프랑스</v>
      </c>
      <c r="C13" s="46" t="str">
        <f>'스테이지별 골드'!C13</f>
        <v>3-1</v>
      </c>
      <c r="D13" s="52">
        <f t="shared" si="0"/>
        <v>9</v>
      </c>
      <c r="E13" s="52">
        <f t="shared" si="1"/>
        <v>3</v>
      </c>
      <c r="F13" s="57" t="s">
        <v>154</v>
      </c>
      <c r="G13" s="58">
        <f>INDEX(설정!$B$44:$B$48,MATCH(F13,설정!$A$44:$A$48,0))+INDEX(설정!$C$44:$C$48,MATCH(F13,설정!$A$44:$A$48,0))*(E13-1)</f>
        <v>1</v>
      </c>
      <c r="H13" s="39">
        <f>'스테이지별 골드'!G13</f>
        <v>530</v>
      </c>
      <c r="I13" s="59">
        <f>ROUND(H13*INDEX(설정!$D$44:$D$48,MATCH(F13,설정!$A$44:$A$48,0)),0)</f>
        <v>477</v>
      </c>
      <c r="J13" s="39">
        <f>'스테이지별 골드'!H13</f>
        <v>700</v>
      </c>
      <c r="K13" s="59">
        <f>ROUND(J13*INDEX(설정!$E$44:$E$48,MATCH(F13,설정!$A$44:$A$48,0)),0)</f>
        <v>630</v>
      </c>
      <c r="L13" s="39">
        <f>'스테이지별 골드'!I13</f>
        <v>0</v>
      </c>
      <c r="M13" s="59">
        <f>ROUND(L13*INDEX(설정!$F$44:$F$48,MATCH(F13,설정!$A$44:$A$48,0)),0)</f>
        <v>0</v>
      </c>
      <c r="N13" s="60">
        <f t="shared" si="2"/>
        <v>8.4090909090908994E-2</v>
      </c>
      <c r="O13" s="59">
        <f>SUMIFS('드랍 구성 (개편)'!$AB$5:$AB$102,'드랍 구성 (개편)'!$B$5:$B$102,C13,'드랍 구성 (개편)'!$A$5:$A$102,"&lt;&gt;황금 (보너스)")+설정!$B$50*SUMIFS('드랍 구성 (개편)'!$AB$5:$AB$102,'드랍 구성 (개편)'!$B$5:$B$102,C13,'드랍 구성 (개편)'!$A$5:$A$102,"황금 (보너스)")</f>
        <v>2309</v>
      </c>
      <c r="P13" s="59">
        <f t="shared" si="3"/>
        <v>2135</v>
      </c>
      <c r="Q13" s="58">
        <f>SUM($G$5:G13)</f>
        <v>12.5</v>
      </c>
      <c r="R13" s="37" t="str">
        <f>IFERROR(INDEX(설정!$A$34:$A$39,MATCH(D13,설정!$C$34:$C$39,0)),"")</f>
        <v/>
      </c>
      <c r="S13" s="44" t="s">
        <v>237</v>
      </c>
    </row>
    <row r="14" spans="1:19" x14ac:dyDescent="0.3">
      <c r="A14" s="38" t="str">
        <f>'스테이지별 골드'!A14</f>
        <v>중세</v>
      </c>
      <c r="B14" s="38" t="str">
        <f>'스테이지별 골드'!B14</f>
        <v>프랑스</v>
      </c>
      <c r="C14" s="46" t="str">
        <f>'스테이지별 골드'!C14</f>
        <v>3-2</v>
      </c>
      <c r="D14" s="52">
        <f t="shared" si="0"/>
        <v>10</v>
      </c>
      <c r="E14" s="52">
        <f t="shared" si="1"/>
        <v>3</v>
      </c>
      <c r="F14" s="57" t="s">
        <v>158</v>
      </c>
      <c r="G14" s="58">
        <f>INDEX(설정!$B$44:$B$48,MATCH(F14,설정!$A$44:$A$48,0))+INDEX(설정!$C$44:$C$48,MATCH(F14,설정!$A$44:$A$48,0))*(E14-1)</f>
        <v>1.5</v>
      </c>
      <c r="H14" s="39">
        <f>'스테이지별 골드'!G14</f>
        <v>660</v>
      </c>
      <c r="I14" s="59">
        <f>ROUND(H14*INDEX(설정!$D$44:$D$48,MATCH(F14,설정!$A$44:$A$48,0)),0)</f>
        <v>660</v>
      </c>
      <c r="J14" s="39">
        <f>'스테이지별 골드'!H14</f>
        <v>860</v>
      </c>
      <c r="K14" s="59">
        <f>ROUND(J14*INDEX(설정!$E$44:$E$48,MATCH(F14,설정!$A$44:$A$48,0)),0)</f>
        <v>860</v>
      </c>
      <c r="L14" s="39">
        <f>'스테이지별 골드'!I14</f>
        <v>3300</v>
      </c>
      <c r="M14" s="59">
        <f>ROUND(L14*INDEX(설정!$F$44:$F$48,MATCH(F14,설정!$A$44:$A$48,0)),0)</f>
        <v>3630</v>
      </c>
      <c r="N14" s="60">
        <f t="shared" si="2"/>
        <v>0.38364779874213828</v>
      </c>
      <c r="O14" s="59">
        <f>SUMIFS('드랍 구성 (개편)'!$AB$5:$AB$102,'드랍 구성 (개편)'!$B$5:$B$102,C14,'드랍 구성 (개편)'!$A$5:$A$102,"&lt;&gt;황금 (보너스)")+설정!$B$50*SUMIFS('드랍 구성 (개편)'!$AB$5:$AB$102,'드랍 구성 (개편)'!$B$5:$B$102,C14,'드랍 구성 (개편)'!$A$5:$A$102,"황금 (보너스)")</f>
        <v>3553</v>
      </c>
      <c r="P14" s="59">
        <f t="shared" si="3"/>
        <v>3464</v>
      </c>
      <c r="Q14" s="58">
        <f>SUM($G$5:G14)</f>
        <v>14</v>
      </c>
      <c r="R14" s="37" t="str">
        <f>IFERROR(INDEX(설정!$A$34:$A$39,MATCH(D14,설정!$C$34:$C$39,0)),"")</f>
        <v/>
      </c>
      <c r="S14" s="44" t="s">
        <v>234</v>
      </c>
    </row>
    <row r="15" spans="1:19" x14ac:dyDescent="0.3">
      <c r="A15" s="38" t="str">
        <f>'스테이지별 골드'!A15</f>
        <v>중세</v>
      </c>
      <c r="B15" s="38" t="str">
        <f>'스테이지별 골드'!B15</f>
        <v>독일</v>
      </c>
      <c r="C15" s="46" t="str">
        <f>'스테이지별 골드'!C15</f>
        <v>3-3</v>
      </c>
      <c r="D15" s="52">
        <f t="shared" si="0"/>
        <v>11</v>
      </c>
      <c r="E15" s="52">
        <f t="shared" si="1"/>
        <v>3</v>
      </c>
      <c r="F15" s="57" t="s">
        <v>156</v>
      </c>
      <c r="G15" s="58">
        <f>INDEX(설정!$B$44:$B$48,MATCH(F15,설정!$A$44:$A$48,0))+INDEX(설정!$C$44:$C$48,MATCH(F15,설정!$A$44:$A$48,0))*(E15-1)</f>
        <v>1</v>
      </c>
      <c r="H15" s="39">
        <f>'스테이지별 골드'!G15</f>
        <v>800</v>
      </c>
      <c r="I15" s="59">
        <f>ROUND(H15*INDEX(설정!$D$44:$D$48,MATCH(F15,설정!$A$44:$A$48,0)),0)</f>
        <v>800</v>
      </c>
      <c r="J15" s="39">
        <f>'스테이지별 골드'!H15</f>
        <v>1050</v>
      </c>
      <c r="K15" s="59">
        <f>ROUND(J15*INDEX(설정!$E$44:$E$48,MATCH(F15,설정!$A$44:$A$48,0)),0)</f>
        <v>1050</v>
      </c>
      <c r="L15" s="39">
        <f>'스테이지별 골드'!I15</f>
        <v>0</v>
      </c>
      <c r="M15" s="59">
        <f>ROUND(L15*INDEX(설정!$F$44:$F$48,MATCH(F15,설정!$A$44:$A$48,0)),0)</f>
        <v>0</v>
      </c>
      <c r="N15" s="60">
        <f t="shared" si="2"/>
        <v>0.21212121212121215</v>
      </c>
      <c r="O15" s="59">
        <f>SUMIFS('드랍 구성 (개편)'!$AB$5:$AB$102,'드랍 구성 (개편)'!$B$5:$B$102,C15,'드랍 구성 (개편)'!$A$5:$A$102,"&lt;&gt;황금 (보너스)")+설정!$B$50*SUMIFS('드랍 구성 (개편)'!$AB$5:$AB$102,'드랍 구성 (개편)'!$B$5:$B$102,C15,'드랍 구성 (개편)'!$A$5:$A$102,"황금 (보너스)")</f>
        <v>4102.5</v>
      </c>
      <c r="P15" s="59">
        <f t="shared" si="3"/>
        <v>3553</v>
      </c>
      <c r="Q15" s="58">
        <f>SUM($G$5:G15)</f>
        <v>15</v>
      </c>
      <c r="R15" s="37" t="str">
        <f>IFERROR(INDEX(설정!$A$34:$A$39,MATCH(D15,설정!$C$34:$C$39,0)),"")</f>
        <v/>
      </c>
      <c r="S15" s="44" t="s">
        <v>235</v>
      </c>
    </row>
    <row r="16" spans="1:19" x14ac:dyDescent="0.3">
      <c r="A16" s="38" t="str">
        <f>'스테이지별 골드'!A16</f>
        <v>중세</v>
      </c>
      <c r="B16" s="38" t="str">
        <f>'스테이지별 골드'!B16</f>
        <v>독일</v>
      </c>
      <c r="C16" s="46" t="str">
        <f>'스테이지별 골드'!C16</f>
        <v>3-4</v>
      </c>
      <c r="D16" s="52">
        <f t="shared" si="0"/>
        <v>12</v>
      </c>
      <c r="E16" s="52">
        <f t="shared" si="1"/>
        <v>3</v>
      </c>
      <c r="F16" s="61" t="s">
        <v>160</v>
      </c>
      <c r="G16" s="58">
        <f>INDEX(설정!$B$44:$B$48,MATCH(F16,설정!$A$44:$A$48,0))+INDEX(설정!$C$44:$C$48,MATCH(F16,설정!$A$44:$A$48,0))*(E16-1)</f>
        <v>3</v>
      </c>
      <c r="H16" s="39">
        <f>'스테이지별 골드'!G16</f>
        <v>1000</v>
      </c>
      <c r="I16" s="59">
        <f>ROUND(H16*INDEX(설정!$D$44:$D$48,MATCH(F16,설정!$A$44:$A$48,0)),0)</f>
        <v>1000</v>
      </c>
      <c r="J16" s="39">
        <f>'스테이지별 골드'!H16</f>
        <v>1300</v>
      </c>
      <c r="K16" s="59">
        <f>ROUND(J16*INDEX(설정!$E$44:$E$48,MATCH(F16,설정!$A$44:$A$48,0)),0)</f>
        <v>1690</v>
      </c>
      <c r="L16" s="39">
        <f>'스테이지별 골드'!I16</f>
        <v>5000</v>
      </c>
      <c r="M16" s="59">
        <f>ROUND(L16*INDEX(설정!$F$44:$F$48,MATCH(F16,설정!$A$44:$A$48,0)),0)</f>
        <v>6500</v>
      </c>
      <c r="N16" s="60">
        <f t="shared" si="2"/>
        <v>0.25</v>
      </c>
      <c r="O16" s="59">
        <f>SUMIFS('드랍 구성 (개편)'!$AB$5:$AB$102,'드랍 구성 (개편)'!$B$5:$B$102,C16,'드랍 구성 (개편)'!$A$5:$A$102,"&lt;&gt;황금 (보너스)")+설정!$B$50*SUMIFS('드랍 구성 (개편)'!$AB$5:$AB$102,'드랍 구성 (개편)'!$B$5:$B$102,C16,'드랍 구성 (개편)'!$A$5:$A$102,"황금 (보너스)")</f>
        <v>6132.5</v>
      </c>
      <c r="P16" s="59">
        <f t="shared" si="3"/>
        <v>12308</v>
      </c>
      <c r="Q16" s="58">
        <f>SUM($G$5:G16)</f>
        <v>18</v>
      </c>
      <c r="R16" s="37" t="str">
        <f>IFERROR(INDEX(설정!$A$34:$A$39,MATCH(D16,설정!$C$34:$C$39,0)),"")</f>
        <v>루비</v>
      </c>
      <c r="S16" s="44" t="s">
        <v>236</v>
      </c>
    </row>
    <row r="17" spans="1:19" x14ac:dyDescent="0.3">
      <c r="A17" s="38" t="str">
        <f>'스테이지별 골드'!A17</f>
        <v>산업</v>
      </c>
      <c r="B17" s="38" t="str">
        <f>'스테이지별 골드'!B17</f>
        <v>영국</v>
      </c>
      <c r="C17" s="46" t="str">
        <f>'스테이지별 골드'!C17</f>
        <v>4-1</v>
      </c>
      <c r="D17" s="52">
        <f t="shared" si="0"/>
        <v>13</v>
      </c>
      <c r="E17" s="52">
        <f t="shared" si="1"/>
        <v>4</v>
      </c>
      <c r="F17" s="57" t="s">
        <v>154</v>
      </c>
      <c r="G17" s="58">
        <f>INDEX(설정!$B$44:$B$48,MATCH(F17,설정!$A$44:$A$48,0))+INDEX(설정!$C$44:$C$48,MATCH(F17,설정!$A$44:$A$48,0))*(E17-1)</f>
        <v>1</v>
      </c>
      <c r="H17" s="39">
        <f>'스테이지별 골드'!G17</f>
        <v>1200</v>
      </c>
      <c r="I17" s="59">
        <f>ROUND(H17*INDEX(설정!$D$44:$D$48,MATCH(F17,설정!$A$44:$A$48,0)),0)</f>
        <v>1080</v>
      </c>
      <c r="J17" s="39">
        <f>'스테이지별 골드'!H17</f>
        <v>1560</v>
      </c>
      <c r="K17" s="59">
        <f>ROUND(J17*INDEX(설정!$E$44:$E$48,MATCH(F17,설정!$A$44:$A$48,0)),0)</f>
        <v>1404</v>
      </c>
      <c r="L17" s="39">
        <f>'스테이지별 골드'!I17</f>
        <v>0</v>
      </c>
      <c r="M17" s="59">
        <f>ROUND(L17*INDEX(설정!$F$44:$F$48,MATCH(F17,설정!$A$44:$A$48,0)),0)</f>
        <v>0</v>
      </c>
      <c r="N17" s="60">
        <f t="shared" si="2"/>
        <v>8.0000000000000071E-2</v>
      </c>
      <c r="O17" s="59">
        <f>SUMIFS('드랍 구성 (개편)'!$AB$5:$AB$102,'드랍 구성 (개편)'!$B$5:$B$102,C17,'드랍 구성 (개편)'!$A$5:$A$102,"&lt;&gt;황금 (보너스)")+설정!$B$50*SUMIFS('드랍 구성 (개편)'!$AB$5:$AB$102,'드랍 구성 (개편)'!$B$5:$B$102,C17,'드랍 구성 (개편)'!$A$5:$A$102,"황금 (보너스)")</f>
        <v>6453</v>
      </c>
      <c r="P17" s="59">
        <f t="shared" si="3"/>
        <v>6133</v>
      </c>
      <c r="Q17" s="58">
        <f>SUM($G$5:G17)</f>
        <v>19</v>
      </c>
      <c r="R17" s="37" t="str">
        <f>IFERROR(INDEX(설정!$A$34:$A$39,MATCH(D17,설정!$C$34:$C$39,0)),"")</f>
        <v/>
      </c>
      <c r="S17" s="44" t="s">
        <v>237</v>
      </c>
    </row>
    <row r="18" spans="1:19" x14ac:dyDescent="0.3">
      <c r="A18" s="38" t="str">
        <f>'스테이지별 골드'!A18</f>
        <v>산업</v>
      </c>
      <c r="B18" s="38" t="str">
        <f>'스테이지별 골드'!B18</f>
        <v>영국</v>
      </c>
      <c r="C18" s="46" t="str">
        <f>'스테이지별 골드'!C18</f>
        <v>4-2</v>
      </c>
      <c r="D18" s="52">
        <f t="shared" si="0"/>
        <v>14</v>
      </c>
      <c r="E18" s="52">
        <f t="shared" si="1"/>
        <v>4</v>
      </c>
      <c r="F18" s="57" t="s">
        <v>158</v>
      </c>
      <c r="G18" s="58">
        <f>INDEX(설정!$B$44:$B$48,MATCH(F18,설정!$A$44:$A$48,0))+INDEX(설정!$C$44:$C$48,MATCH(F18,설정!$A$44:$A$48,0))*(E18-1)</f>
        <v>1.5</v>
      </c>
      <c r="H18" s="39">
        <f>'스테이지별 골드'!G18</f>
        <v>1500</v>
      </c>
      <c r="I18" s="59">
        <f>ROUND(H18*INDEX(설정!$D$44:$D$48,MATCH(F18,설정!$A$44:$A$48,0)),0)</f>
        <v>1500</v>
      </c>
      <c r="J18" s="39">
        <f>'스테이지별 골드'!H18</f>
        <v>1950</v>
      </c>
      <c r="K18" s="59">
        <f>ROUND(J18*INDEX(설정!$E$44:$E$48,MATCH(F18,설정!$A$44:$A$48,0)),0)</f>
        <v>1950</v>
      </c>
      <c r="L18" s="39">
        <f>'스테이지별 골드'!I18</f>
        <v>7500</v>
      </c>
      <c r="M18" s="59">
        <f>ROUND(L18*INDEX(설정!$F$44:$F$48,MATCH(F18,설정!$A$44:$A$48,0)),0)</f>
        <v>8250</v>
      </c>
      <c r="N18" s="60">
        <f t="shared" si="2"/>
        <v>0.38888888888888884</v>
      </c>
      <c r="O18" s="59">
        <f>SUMIFS('드랍 구성 (개편)'!$AB$5:$AB$102,'드랍 구성 (개편)'!$B$5:$B$102,C18,'드랍 구성 (개편)'!$A$5:$A$102,"&lt;&gt;황금 (보너스)")+설정!$B$50*SUMIFS('드랍 구성 (개편)'!$AB$5:$AB$102,'드랍 구성 (개편)'!$B$5:$B$102,C18,'드랍 구성 (개편)'!$A$5:$A$102,"황금 (보너스)")</f>
        <v>9789</v>
      </c>
      <c r="P18" s="59">
        <f t="shared" si="3"/>
        <v>9680</v>
      </c>
      <c r="Q18" s="58">
        <f>SUM($G$5:G18)</f>
        <v>20.5</v>
      </c>
      <c r="R18" s="37" t="str">
        <f>IFERROR(INDEX(설정!$A$34:$A$39,MATCH(D18,설정!$C$34:$C$39,0)),"")</f>
        <v/>
      </c>
      <c r="S18" s="44" t="s">
        <v>234</v>
      </c>
    </row>
    <row r="19" spans="1:19" x14ac:dyDescent="0.3">
      <c r="A19" s="38" t="str">
        <f>'스테이지별 골드'!A19</f>
        <v>산업</v>
      </c>
      <c r="B19" s="38" t="str">
        <f>'스테이지별 골드'!B19</f>
        <v>미국</v>
      </c>
      <c r="C19" s="46" t="str">
        <f>'스테이지별 골드'!C19</f>
        <v>4-3</v>
      </c>
      <c r="D19" s="52">
        <f t="shared" si="0"/>
        <v>15</v>
      </c>
      <c r="E19" s="52">
        <f t="shared" si="1"/>
        <v>4</v>
      </c>
      <c r="F19" s="57" t="s">
        <v>156</v>
      </c>
      <c r="G19" s="58">
        <f>INDEX(설정!$B$44:$B$48,MATCH(F19,설정!$A$44:$A$48,0))+INDEX(설정!$C$44:$C$48,MATCH(F19,설정!$A$44:$A$48,0))*(E19-1)</f>
        <v>1</v>
      </c>
      <c r="H19" s="39">
        <f>'스테이지별 골드'!G19</f>
        <v>1800</v>
      </c>
      <c r="I19" s="59">
        <f>ROUND(H19*INDEX(설정!$D$44:$D$48,MATCH(F19,설정!$A$44:$A$48,0)),0)</f>
        <v>1800</v>
      </c>
      <c r="J19" s="39">
        <f>'스테이지별 골드'!H19</f>
        <v>2340</v>
      </c>
      <c r="K19" s="59">
        <f>ROUND(J19*INDEX(설정!$E$44:$E$48,MATCH(F19,설정!$A$44:$A$48,0)),0)</f>
        <v>2340</v>
      </c>
      <c r="L19" s="39">
        <f>'스테이지별 골드'!I19</f>
        <v>0</v>
      </c>
      <c r="M19" s="59">
        <f>ROUND(L19*INDEX(설정!$F$44:$F$48,MATCH(F19,설정!$A$44:$A$48,0)),0)</f>
        <v>0</v>
      </c>
      <c r="N19" s="60">
        <f t="shared" si="2"/>
        <v>0.19999999999999996</v>
      </c>
      <c r="O19" s="59">
        <f>SUMIFS('드랍 구성 (개편)'!$AB$5:$AB$102,'드랍 구성 (개편)'!$B$5:$B$102,C19,'드랍 구성 (개편)'!$A$5:$A$102,"&lt;&gt;황금 (보너스)")+설정!$B$50*SUMIFS('드랍 구성 (개편)'!$AB$5:$AB$102,'드랍 구성 (개편)'!$B$5:$B$102,C19,'드랍 구성 (개편)'!$A$5:$A$102,"황금 (보너스)")</f>
        <v>10292.5</v>
      </c>
      <c r="P19" s="59">
        <f t="shared" si="3"/>
        <v>9789</v>
      </c>
      <c r="Q19" s="58">
        <f>SUM($G$5:G19)</f>
        <v>21.5</v>
      </c>
      <c r="R19" s="37" t="str">
        <f>IFERROR(INDEX(설정!$A$34:$A$39,MATCH(D19,설정!$C$34:$C$39,0)),"")</f>
        <v/>
      </c>
      <c r="S19" s="44" t="s">
        <v>235</v>
      </c>
    </row>
    <row r="20" spans="1:19" x14ac:dyDescent="0.3">
      <c r="A20" s="38" t="str">
        <f>'스테이지별 골드'!A20</f>
        <v>산업</v>
      </c>
      <c r="B20" s="38" t="str">
        <f>'스테이지별 골드'!B20</f>
        <v>미국</v>
      </c>
      <c r="C20" s="46" t="str">
        <f>'스테이지별 골드'!C20</f>
        <v>4-4</v>
      </c>
      <c r="D20" s="52">
        <f t="shared" si="0"/>
        <v>16</v>
      </c>
      <c r="E20" s="52">
        <f t="shared" si="1"/>
        <v>4</v>
      </c>
      <c r="F20" s="61" t="s">
        <v>160</v>
      </c>
      <c r="G20" s="58">
        <f>INDEX(설정!$B$44:$B$48,MATCH(F20,설정!$A$44:$A$48,0))+INDEX(설정!$C$44:$C$48,MATCH(F20,설정!$A$44:$A$48,0))*(E20-1)</f>
        <v>3.5</v>
      </c>
      <c r="H20" s="39">
        <f>'스테이지별 골드'!G20</f>
        <v>2250</v>
      </c>
      <c r="I20" s="59">
        <f>ROUND(H20*INDEX(설정!$D$44:$D$48,MATCH(F20,설정!$A$44:$A$48,0)),0)</f>
        <v>2250</v>
      </c>
      <c r="J20" s="39">
        <f>'스테이지별 골드'!H20</f>
        <v>2925</v>
      </c>
      <c r="K20" s="59">
        <f>ROUND(J20*INDEX(설정!$E$44:$E$48,MATCH(F20,설정!$A$44:$A$48,0)),0)</f>
        <v>3803</v>
      </c>
      <c r="L20" s="39">
        <f>'스테이지별 골드'!I20</f>
        <v>11250</v>
      </c>
      <c r="M20" s="59">
        <f>ROUND(L20*INDEX(설정!$F$44:$F$48,MATCH(F20,설정!$A$44:$A$48,0)),0)</f>
        <v>14625</v>
      </c>
      <c r="N20" s="60">
        <f t="shared" si="2"/>
        <v>0.25</v>
      </c>
      <c r="O20" s="59">
        <f>SUMIFS('드랍 구성 (개편)'!$AB$5:$AB$102,'드랍 구성 (개편)'!$B$5:$B$102,C20,'드랍 구성 (개편)'!$A$5:$A$102,"&lt;&gt;황금 (보너스)")+설정!$B$50*SUMIFS('드랍 구성 (개편)'!$AB$5:$AB$102,'드랍 구성 (개편)'!$B$5:$B$102,C20,'드랍 구성 (개편)'!$A$5:$A$102,"황금 (보너스)")</f>
        <v>15422.5</v>
      </c>
      <c r="P20" s="59">
        <f t="shared" si="3"/>
        <v>36024</v>
      </c>
      <c r="Q20" s="58">
        <f>SUM($G$5:G20)</f>
        <v>25</v>
      </c>
      <c r="R20" s="37" t="str">
        <f>IFERROR(INDEX(설정!$A$34:$A$39,MATCH(D20,설정!$C$34:$C$39,0)),"")</f>
        <v/>
      </c>
      <c r="S20" s="44" t="s">
        <v>236</v>
      </c>
    </row>
    <row r="21" spans="1:19" x14ac:dyDescent="0.3">
      <c r="A21" s="38" t="str">
        <f>'스테이지별 골드'!A21</f>
        <v>현대</v>
      </c>
      <c r="B21" s="38" t="str">
        <f>'스테이지별 골드'!B21</f>
        <v>미국</v>
      </c>
      <c r="C21" s="46" t="str">
        <f>'스테이지별 골드'!C21</f>
        <v>5-1</v>
      </c>
      <c r="D21" s="52">
        <f t="shared" si="0"/>
        <v>17</v>
      </c>
      <c r="E21" s="52">
        <f t="shared" si="1"/>
        <v>5</v>
      </c>
      <c r="F21" s="57" t="s">
        <v>154</v>
      </c>
      <c r="G21" s="58">
        <f>INDEX(설정!$B$44:$B$48,MATCH(F21,설정!$A$44:$A$48,0))+INDEX(설정!$C$44:$C$48,MATCH(F21,설정!$A$44:$A$48,0))*(E21-1)</f>
        <v>1</v>
      </c>
      <c r="H21" s="39">
        <f>'스테이지별 골드'!G21</f>
        <v>2700</v>
      </c>
      <c r="I21" s="59">
        <f>ROUND(H21*INDEX(설정!$D$44:$D$48,MATCH(F21,설정!$A$44:$A$48,0)),0)</f>
        <v>2430</v>
      </c>
      <c r="J21" s="39">
        <f>'스테이지별 골드'!H21</f>
        <v>3510</v>
      </c>
      <c r="K21" s="59">
        <f>ROUND(J21*INDEX(설정!$E$44:$E$48,MATCH(F21,설정!$A$44:$A$48,0)),0)</f>
        <v>3159</v>
      </c>
      <c r="L21" s="39">
        <f>'스테이지별 골드'!I21</f>
        <v>0</v>
      </c>
      <c r="M21" s="59">
        <f>ROUND(L21*INDEX(설정!$F$44:$F$48,MATCH(F21,설정!$A$44:$A$48,0)),0)</f>
        <v>0</v>
      </c>
      <c r="N21" s="60">
        <f t="shared" si="2"/>
        <v>8.0000000000000071E-2</v>
      </c>
      <c r="O21" s="59">
        <f>SUMIFS('드랍 구성 (개편)'!$AB$5:$AB$102,'드랍 구성 (개편)'!$B$5:$B$102,C21,'드랍 구성 (개편)'!$A$5:$A$102,"&lt;&gt;황금 (보너스)")+설정!$B$50*SUMIFS('드랍 구성 (개편)'!$AB$5:$AB$102,'드랍 구성 (개편)'!$B$5:$B$102,C21,'드랍 구성 (개편)'!$A$5:$A$102,"황금 (보너스)")</f>
        <v>17235</v>
      </c>
      <c r="P21" s="59">
        <f t="shared" si="3"/>
        <v>15423</v>
      </c>
      <c r="Q21" s="58">
        <f>SUM($G$5:G21)</f>
        <v>26</v>
      </c>
      <c r="R21" s="37" t="str">
        <f>IFERROR(INDEX(설정!$A$34:$A$39,MATCH(D21,설정!$C$34:$C$39,0)),"")</f>
        <v/>
      </c>
      <c r="S21" s="44" t="s">
        <v>237</v>
      </c>
    </row>
    <row r="22" spans="1:19" x14ac:dyDescent="0.3">
      <c r="A22" s="38" t="str">
        <f>'스테이지별 골드'!A22</f>
        <v>현대</v>
      </c>
      <c r="B22" s="38" t="str">
        <f>'스테이지별 골드'!B22</f>
        <v>미국</v>
      </c>
      <c r="C22" s="46" t="str">
        <f>'스테이지별 골드'!C22</f>
        <v>5-2</v>
      </c>
      <c r="D22" s="52">
        <f t="shared" si="0"/>
        <v>18</v>
      </c>
      <c r="E22" s="52">
        <f t="shared" si="1"/>
        <v>5</v>
      </c>
      <c r="F22" s="57" t="s">
        <v>158</v>
      </c>
      <c r="G22" s="58">
        <f>INDEX(설정!$B$44:$B$48,MATCH(F22,설정!$A$44:$A$48,0))+INDEX(설정!$C$44:$C$48,MATCH(F22,설정!$A$44:$A$48,0))*(E22-1)</f>
        <v>1.5</v>
      </c>
      <c r="H22" s="39">
        <f>'스테이지별 골드'!G22</f>
        <v>3400</v>
      </c>
      <c r="I22" s="59">
        <f>ROUND(H22*INDEX(설정!$D$44:$D$48,MATCH(F22,설정!$A$44:$A$48,0)),0)</f>
        <v>3400</v>
      </c>
      <c r="J22" s="39">
        <f>'스테이지별 골드'!H22</f>
        <v>4420</v>
      </c>
      <c r="K22" s="59">
        <f>ROUND(J22*INDEX(설정!$E$44:$E$48,MATCH(F22,설정!$A$44:$A$48,0)),0)</f>
        <v>4420</v>
      </c>
      <c r="L22" s="39">
        <f>'스테이지별 골드'!I22</f>
        <v>17000</v>
      </c>
      <c r="M22" s="59">
        <f>ROUND(L22*INDEX(설정!$F$44:$F$48,MATCH(F22,설정!$A$44:$A$48,0)),0)</f>
        <v>18700</v>
      </c>
      <c r="N22" s="60">
        <f t="shared" si="2"/>
        <v>0.39917695473251036</v>
      </c>
      <c r="O22" s="59">
        <f>SUMIFS('드랍 구성 (개편)'!$AB$5:$AB$102,'드랍 구성 (개편)'!$B$5:$B$102,C22,'드랍 구성 (개편)'!$A$5:$A$102,"&lt;&gt;황금 (보너스)")+설정!$B$50*SUMIFS('드랍 구성 (개편)'!$AB$5:$AB$102,'드랍 구성 (개편)'!$B$5:$B$102,C22,'드랍 구성 (개편)'!$A$5:$A$102,"황금 (보너스)")</f>
        <v>25320</v>
      </c>
      <c r="P22" s="59">
        <f t="shared" si="3"/>
        <v>25853</v>
      </c>
      <c r="Q22" s="58">
        <f>SUM($G$5:G22)</f>
        <v>27.5</v>
      </c>
      <c r="R22" s="37" t="str">
        <f>IFERROR(INDEX(설정!$A$34:$A$39,MATCH(D22,설정!$C$34:$C$39,0)),"")</f>
        <v/>
      </c>
      <c r="S22" s="44" t="s">
        <v>234</v>
      </c>
    </row>
    <row r="23" spans="1:19" x14ac:dyDescent="0.3">
      <c r="A23" s="38" t="str">
        <f>'스테이지별 골드'!A23</f>
        <v>현대</v>
      </c>
      <c r="B23" s="38" t="str">
        <f>'스테이지별 골드'!B23</f>
        <v>한국</v>
      </c>
      <c r="C23" s="46" t="str">
        <f>'스테이지별 골드'!C23</f>
        <v>5-3</v>
      </c>
      <c r="D23" s="52">
        <f t="shared" si="0"/>
        <v>19</v>
      </c>
      <c r="E23" s="52">
        <f t="shared" si="1"/>
        <v>5</v>
      </c>
      <c r="F23" s="57" t="s">
        <v>156</v>
      </c>
      <c r="G23" s="58">
        <f>INDEX(설정!$B$44:$B$48,MATCH(F23,설정!$A$44:$A$48,0))+INDEX(설정!$C$44:$C$48,MATCH(F23,설정!$A$44:$A$48,0))*(E23-1)</f>
        <v>1</v>
      </c>
      <c r="H23" s="39">
        <f>'스테이지별 골드'!G23</f>
        <v>4100</v>
      </c>
      <c r="I23" s="59">
        <f>ROUND(H23*INDEX(설정!$D$44:$D$48,MATCH(F23,설정!$A$44:$A$48,0)),0)</f>
        <v>4100</v>
      </c>
      <c r="J23" s="39">
        <f>'스테이지별 골드'!H23</f>
        <v>5330</v>
      </c>
      <c r="K23" s="59">
        <f>ROUND(J23*INDEX(설정!$E$44:$E$48,MATCH(F23,설정!$A$44:$A$48,0)),0)</f>
        <v>5330</v>
      </c>
      <c r="L23" s="39">
        <f>'스테이지별 골드'!I23</f>
        <v>0</v>
      </c>
      <c r="M23" s="59">
        <f>ROUND(L23*INDEX(설정!$F$44:$F$48,MATCH(F23,설정!$A$44:$A$48,0)),0)</f>
        <v>0</v>
      </c>
      <c r="N23" s="60">
        <f t="shared" si="2"/>
        <v>0.20588235294117641</v>
      </c>
      <c r="O23" s="59">
        <f>SUMIFS('드랍 구성 (개편)'!$AB$5:$AB$102,'드랍 구성 (개편)'!$B$5:$B$102,C23,'드랍 구성 (개편)'!$A$5:$A$102,"&lt;&gt;황금 (보너스)")+설정!$B$50*SUMIFS('드랍 구성 (개편)'!$AB$5:$AB$102,'드랍 구성 (개편)'!$B$5:$B$102,C23,'드랍 구성 (개편)'!$A$5:$A$102,"황금 (보너스)")</f>
        <v>28000</v>
      </c>
      <c r="P23" s="59">
        <f t="shared" si="3"/>
        <v>25320</v>
      </c>
      <c r="Q23" s="58">
        <f>SUM($G$5:G23)</f>
        <v>28.5</v>
      </c>
      <c r="R23" s="37" t="str">
        <f>IFERROR(INDEX(설정!$A$34:$A$39,MATCH(D23,설정!$C$34:$C$39,0)),"")</f>
        <v/>
      </c>
      <c r="S23" s="44" t="s">
        <v>235</v>
      </c>
    </row>
    <row r="24" spans="1:19" x14ac:dyDescent="0.3">
      <c r="A24" s="38" t="str">
        <f>'스테이지별 골드'!A24</f>
        <v>현대</v>
      </c>
      <c r="B24" s="38" t="str">
        <f>'스테이지별 골드'!B24</f>
        <v>한국</v>
      </c>
      <c r="C24" s="46" t="str">
        <f>'스테이지별 골드'!C24</f>
        <v>5-4</v>
      </c>
      <c r="D24" s="52">
        <f t="shared" si="0"/>
        <v>20</v>
      </c>
      <c r="E24" s="52">
        <f t="shared" si="1"/>
        <v>5</v>
      </c>
      <c r="F24" s="61" t="s">
        <v>160</v>
      </c>
      <c r="G24" s="58">
        <f>INDEX(설정!$B$44:$B$48,MATCH(F24,설정!$A$44:$A$48,0))+INDEX(설정!$C$44:$C$48,MATCH(F24,설정!$A$44:$A$48,0))*(E24-1)</f>
        <v>4</v>
      </c>
      <c r="H24" s="39">
        <f>'스테이지별 골드'!G24</f>
        <v>5100</v>
      </c>
      <c r="I24" s="59">
        <f>ROUND(H24*INDEX(설정!$D$44:$D$48,MATCH(F24,설정!$A$44:$A$48,0)),0)</f>
        <v>5100</v>
      </c>
      <c r="J24" s="39">
        <f>'스테이지별 골드'!H24</f>
        <v>6630</v>
      </c>
      <c r="K24" s="59">
        <f>ROUND(J24*INDEX(설정!$E$44:$E$48,MATCH(F24,설정!$A$44:$A$48,0)),0)</f>
        <v>8619</v>
      </c>
      <c r="L24" s="39">
        <f>'스테이지별 골드'!I24</f>
        <v>25500</v>
      </c>
      <c r="M24" s="59">
        <f>ROUND(L24*INDEX(설정!$F$44:$F$48,MATCH(F24,설정!$A$44:$A$48,0)),0)</f>
        <v>33150</v>
      </c>
      <c r="N24" s="60">
        <f t="shared" si="2"/>
        <v>0.24390243902439024</v>
      </c>
      <c r="O24" s="59">
        <f>SUMIFS('드랍 구성 (개편)'!$AB$5:$AB$102,'드랍 구성 (개편)'!$B$5:$B$102,C24,'드랍 구성 (개편)'!$A$5:$A$102,"&lt;&gt;황금 (보너스)")+설정!$B$50*SUMIFS('드랍 구성 (개편)'!$AB$5:$AB$102,'드랍 구성 (개편)'!$B$5:$B$102,C24,'드랍 구성 (개편)'!$A$5:$A$102,"황금 (보너스)")</f>
        <v>39152.5</v>
      </c>
      <c r="P24" s="59">
        <f t="shared" si="3"/>
        <v>112000</v>
      </c>
      <c r="Q24" s="58">
        <f>SUM($G$5:G24)</f>
        <v>32.5</v>
      </c>
      <c r="R24" s="37" t="str">
        <f>IFERROR(INDEX(설정!$A$34:$A$39,MATCH(D24,설정!$C$34:$C$39,0)),"")</f>
        <v>다이아몬드</v>
      </c>
      <c r="S24" s="44" t="s">
        <v>236</v>
      </c>
    </row>
    <row r="25" spans="1:19" x14ac:dyDescent="0.3">
      <c r="A25" s="38" t="str">
        <f>'스테이지별 골드'!A25</f>
        <v>미래</v>
      </c>
      <c r="B25" s="38" t="str">
        <f>'스테이지별 골드'!B25</f>
        <v>일본</v>
      </c>
      <c r="C25" s="46" t="str">
        <f>'스테이지별 골드'!C25</f>
        <v>6-1</v>
      </c>
      <c r="D25" s="52">
        <f t="shared" si="0"/>
        <v>21</v>
      </c>
      <c r="E25" s="52">
        <f t="shared" si="1"/>
        <v>6</v>
      </c>
      <c r="F25" s="57" t="s">
        <v>154</v>
      </c>
      <c r="G25" s="58">
        <f>INDEX(설정!$B$44:$B$48,MATCH(F25,설정!$A$44:$A$48,0))+INDEX(설정!$C$44:$C$48,MATCH(F25,설정!$A$44:$A$48,0))*(E25-1)</f>
        <v>1</v>
      </c>
      <c r="H25" s="39">
        <f>'스테이지별 골드'!G25</f>
        <v>6200</v>
      </c>
      <c r="I25" s="59">
        <f>ROUND(H25*INDEX(설정!$D$44:$D$48,MATCH(F25,설정!$A$44:$A$48,0)),0)</f>
        <v>5580</v>
      </c>
      <c r="J25" s="39">
        <f>'스테이지별 골드'!H25</f>
        <v>8060</v>
      </c>
      <c r="K25" s="59">
        <f>ROUND(J25*INDEX(설정!$E$44:$E$48,MATCH(F25,설정!$A$44:$A$48,0)),0)</f>
        <v>7254</v>
      </c>
      <c r="L25" s="39">
        <f>'스테이지별 골드'!I25</f>
        <v>0</v>
      </c>
      <c r="M25" s="59">
        <f>ROUND(L25*INDEX(설정!$F$44:$F$48,MATCH(F25,설정!$A$44:$A$48,0)),0)</f>
        <v>0</v>
      </c>
      <c r="N25" s="60">
        <f t="shared" si="2"/>
        <v>9.4117647058823639E-2</v>
      </c>
      <c r="O25" s="59">
        <f>SUMIFS('드랍 구성 (개편)'!$AB$5:$AB$102,'드랍 구성 (개편)'!$B$5:$B$102,C25,'드랍 구성 (개편)'!$A$5:$A$102,"&lt;&gt;황금 (보너스)")+설정!$B$50*SUMIFS('드랍 구성 (개편)'!$AB$5:$AB$102,'드랍 구성 (개편)'!$B$5:$B$102,C25,'드랍 구성 (개편)'!$A$5:$A$102,"황금 (보너스)")</f>
        <v>45050</v>
      </c>
      <c r="P25" s="59">
        <f t="shared" si="3"/>
        <v>39153</v>
      </c>
      <c r="Q25" s="58">
        <f>SUM($G$5:G25)</f>
        <v>33.5</v>
      </c>
      <c r="R25" s="37" t="str">
        <f>IFERROR(INDEX(설정!$A$34:$A$39,MATCH(D25,설정!$C$34:$C$39,0)),"")</f>
        <v/>
      </c>
      <c r="S25" s="44" t="s">
        <v>237</v>
      </c>
    </row>
    <row r="26" spans="1:19" x14ac:dyDescent="0.3">
      <c r="A26" s="38" t="str">
        <f>'스테이지별 골드'!A26</f>
        <v>미래</v>
      </c>
      <c r="B26" s="38" t="str">
        <f>'스테이지별 골드'!B26</f>
        <v>일본</v>
      </c>
      <c r="C26" s="46" t="str">
        <f>'스테이지별 골드'!C26</f>
        <v>6-2</v>
      </c>
      <c r="D26" s="52">
        <f t="shared" si="0"/>
        <v>22</v>
      </c>
      <c r="E26" s="52">
        <f t="shared" si="1"/>
        <v>6</v>
      </c>
      <c r="F26" s="57" t="s">
        <v>158</v>
      </c>
      <c r="G26" s="58">
        <f>INDEX(설정!$B$44:$B$48,MATCH(F26,설정!$A$44:$A$48,0))+INDEX(설정!$C$44:$C$48,MATCH(F26,설정!$A$44:$A$48,0))*(E26-1)</f>
        <v>1.5</v>
      </c>
      <c r="H26" s="39">
        <f>'스테이지별 골드'!G26</f>
        <v>7700</v>
      </c>
      <c r="I26" s="59">
        <f>ROUND(H26*INDEX(설정!$D$44:$D$48,MATCH(F26,설정!$A$44:$A$48,0)),0)</f>
        <v>7700</v>
      </c>
      <c r="J26" s="39">
        <f>'스테이지별 골드'!H26</f>
        <v>10010</v>
      </c>
      <c r="K26" s="59">
        <f>ROUND(J26*INDEX(설정!$E$44:$E$48,MATCH(F26,설정!$A$44:$A$48,0)),0)</f>
        <v>10010</v>
      </c>
      <c r="L26" s="39">
        <f>'스테이지별 골드'!I26</f>
        <v>38500</v>
      </c>
      <c r="M26" s="59">
        <f>ROUND(L26*INDEX(설정!$F$44:$F$48,MATCH(F26,설정!$A$44:$A$48,0)),0)</f>
        <v>42350</v>
      </c>
      <c r="N26" s="60">
        <f t="shared" si="2"/>
        <v>0.37992831541218641</v>
      </c>
      <c r="O26" s="59">
        <f>SUMIFS('드랍 구성 (개편)'!$AB$5:$AB$102,'드랍 구성 (개편)'!$B$5:$B$102,C26,'드랍 구성 (개편)'!$A$5:$A$102,"&lt;&gt;황금 (보너스)")+설정!$B$50*SUMIFS('드랍 구성 (개편)'!$AB$5:$AB$102,'드랍 구성 (개편)'!$B$5:$B$102,C26,'드랍 구성 (개편)'!$A$5:$A$102,"황금 (보너스)")</f>
        <v>63150</v>
      </c>
      <c r="P26" s="59">
        <f t="shared" si="3"/>
        <v>67575</v>
      </c>
      <c r="Q26" s="58">
        <f>SUM($G$5:G26)</f>
        <v>35</v>
      </c>
      <c r="R26" s="37" t="str">
        <f>IFERROR(INDEX(설정!$A$34:$A$39,MATCH(D26,설정!$C$34:$C$39,0)),"")</f>
        <v/>
      </c>
      <c r="S26" s="44" t="s">
        <v>234</v>
      </c>
    </row>
    <row r="27" spans="1:19" x14ac:dyDescent="0.3">
      <c r="A27" s="38" t="str">
        <f>'스테이지별 골드'!A27</f>
        <v>미래</v>
      </c>
      <c r="B27" s="38" t="str">
        <f>'스테이지별 골드'!B27</f>
        <v>중국</v>
      </c>
      <c r="C27" s="46" t="str">
        <f>'스테이지별 골드'!C27</f>
        <v>6-3</v>
      </c>
      <c r="D27" s="52">
        <f t="shared" si="0"/>
        <v>23</v>
      </c>
      <c r="E27" s="52">
        <f t="shared" si="1"/>
        <v>6</v>
      </c>
      <c r="F27" s="57" t="s">
        <v>156</v>
      </c>
      <c r="G27" s="58">
        <f>INDEX(설정!$B$44:$B$48,MATCH(F27,설정!$A$44:$A$48,0))+INDEX(설정!$C$44:$C$48,MATCH(F27,설정!$A$44:$A$48,0))*(E27-1)</f>
        <v>1</v>
      </c>
      <c r="H27" s="39">
        <f>'스테이지별 골드'!G27</f>
        <v>9300</v>
      </c>
      <c r="I27" s="59">
        <f>ROUND(H27*INDEX(설정!$D$44:$D$48,MATCH(F27,설정!$A$44:$A$48,0)),0)</f>
        <v>9300</v>
      </c>
      <c r="J27" s="39">
        <f>'스테이지별 골드'!H27</f>
        <v>12090</v>
      </c>
      <c r="K27" s="59">
        <f>ROUND(J27*INDEX(설정!$E$44:$E$48,MATCH(F27,설정!$A$44:$A$48,0)),0)</f>
        <v>12090</v>
      </c>
      <c r="L27" s="39">
        <f>'스테이지별 골드'!I27</f>
        <v>0</v>
      </c>
      <c r="M27" s="59">
        <f>ROUND(L27*INDEX(설정!$F$44:$F$48,MATCH(F27,설정!$A$44:$A$48,0)),0)</f>
        <v>0</v>
      </c>
      <c r="N27" s="60">
        <f t="shared" si="2"/>
        <v>0.20779220779220786</v>
      </c>
      <c r="O27" s="59">
        <f>SUMIFS('드랍 구성 (개편)'!$AB$5:$AB$102,'드랍 구성 (개편)'!$B$5:$B$102,C27,'드랍 구성 (개편)'!$A$5:$A$102,"&lt;&gt;황금 (보너스)")+설정!$B$50*SUMIFS('드랍 구성 (개편)'!$AB$5:$AB$102,'드랍 구성 (개편)'!$B$5:$B$102,C27,'드랍 구성 (개편)'!$A$5:$A$102,"황금 (보너스)")</f>
        <v>72205</v>
      </c>
      <c r="P27" s="59">
        <f t="shared" si="3"/>
        <v>63150</v>
      </c>
      <c r="Q27" s="58">
        <f>SUM($G$5:G27)</f>
        <v>36</v>
      </c>
      <c r="R27" s="37" t="str">
        <f>IFERROR(INDEX(설정!$A$34:$A$39,MATCH(D27,설정!$C$34:$C$39,0)),"")</f>
        <v/>
      </c>
      <c r="S27" s="44" t="s">
        <v>235</v>
      </c>
    </row>
    <row r="28" spans="1:19" x14ac:dyDescent="0.3">
      <c r="A28" s="38" t="str">
        <f>'스테이지별 골드'!A28</f>
        <v>미래</v>
      </c>
      <c r="B28" s="38" t="str">
        <f>'스테이지별 골드'!B28</f>
        <v>중국</v>
      </c>
      <c r="C28" s="46" t="str">
        <f>'스테이지별 골드'!C28</f>
        <v>6-4</v>
      </c>
      <c r="D28" s="52">
        <f t="shared" si="0"/>
        <v>24</v>
      </c>
      <c r="E28" s="52">
        <f t="shared" si="1"/>
        <v>6</v>
      </c>
      <c r="F28" s="61" t="s">
        <v>160</v>
      </c>
      <c r="G28" s="58">
        <f>INDEX(설정!$B$44:$B$48,MATCH(F28,설정!$A$44:$A$48,0))+INDEX(설정!$C$44:$C$48,MATCH(F28,설정!$A$44:$A$48,0))*(E28-1)</f>
        <v>4.5</v>
      </c>
      <c r="H28" s="39">
        <f>'스테이지별 골드'!G28</f>
        <v>11600</v>
      </c>
      <c r="I28" s="59">
        <f>ROUND(H28*INDEX(설정!$D$44:$D$48,MATCH(F28,설정!$A$44:$A$48,0)),0)</f>
        <v>11600</v>
      </c>
      <c r="J28" s="39">
        <f>'스테이지별 골드'!H28</f>
        <v>15080</v>
      </c>
      <c r="K28" s="59">
        <f>ROUND(J28*INDEX(설정!$E$44:$E$48,MATCH(F28,설정!$A$44:$A$48,0)),0)</f>
        <v>19604</v>
      </c>
      <c r="L28" s="39">
        <f>'스테이지별 골드'!I28</f>
        <v>58000</v>
      </c>
      <c r="M28" s="59">
        <f>ROUND(L28*INDEX(설정!$F$44:$F$48,MATCH(F28,설정!$A$44:$A$48,0)),0)</f>
        <v>75400</v>
      </c>
      <c r="N28" s="60">
        <f t="shared" si="2"/>
        <v>0.24731182795698925</v>
      </c>
      <c r="O28" s="59">
        <f>SUMIFS('드랍 구성 (개편)'!$AB$5:$AB$102,'드랍 구성 (개편)'!$B$5:$B$102,C28,'드랍 구성 (개편)'!$A$5:$A$102,"&lt;&gt;황금 (보너스)")+설정!$B$50*SUMIFS('드랍 구성 (개편)'!$AB$5:$AB$102,'드랍 구성 (개편)'!$B$5:$B$102,C28,'드랍 구성 (개편)'!$A$5:$A$102,"황금 (보너스)")</f>
        <v>102820</v>
      </c>
      <c r="P28" s="59">
        <f t="shared" si="3"/>
        <v>324923</v>
      </c>
      <c r="Q28" s="58">
        <f>SUM($G$5:G28)</f>
        <v>40.5</v>
      </c>
      <c r="R28" s="37" t="str">
        <f>IFERROR(INDEX(설정!$A$34:$A$39,MATCH(D28,설정!$C$34:$C$39,0)),"")</f>
        <v/>
      </c>
      <c r="S28" s="44" t="s">
        <v>236</v>
      </c>
    </row>
    <row r="29" spans="1:19" x14ac:dyDescent="0.3">
      <c r="A29" s="38" t="str">
        <f>'스테이지별 골드'!A29</f>
        <v>우주</v>
      </c>
      <c r="B29" s="38" t="str">
        <f>'스테이지별 골드'!B29</f>
        <v>달</v>
      </c>
      <c r="C29" s="46" t="str">
        <f>'스테이지별 골드'!C29</f>
        <v>7-1</v>
      </c>
      <c r="D29" s="52">
        <f t="shared" si="0"/>
        <v>25</v>
      </c>
      <c r="E29" s="52">
        <f t="shared" si="1"/>
        <v>7</v>
      </c>
      <c r="F29" s="57" t="s">
        <v>154</v>
      </c>
      <c r="G29" s="58">
        <f>INDEX(설정!$B$44:$B$48,MATCH(F29,설정!$A$44:$A$48,0))+INDEX(설정!$C$44:$C$48,MATCH(F29,설정!$A$44:$A$48,0))*(E29-1)</f>
        <v>1</v>
      </c>
      <c r="H29" s="39">
        <f>'스테이지별 골드'!G29</f>
        <v>14000</v>
      </c>
      <c r="I29" s="59">
        <f>ROUND(H29*INDEX(설정!$D$44:$D$48,MATCH(F29,설정!$A$44:$A$48,0)),0)</f>
        <v>12600</v>
      </c>
      <c r="J29" s="39">
        <f>'스테이지별 골드'!H29</f>
        <v>18200</v>
      </c>
      <c r="K29" s="59">
        <f>ROUND(J29*INDEX(설정!$E$44:$E$48,MATCH(F29,설정!$A$44:$A$48,0)),0)</f>
        <v>16380</v>
      </c>
      <c r="L29" s="39">
        <f>'스테이지별 골드'!I29</f>
        <v>0</v>
      </c>
      <c r="M29" s="59">
        <f>ROUND(L29*INDEX(설정!$F$44:$F$48,MATCH(F29,설정!$A$44:$A$48,0)),0)</f>
        <v>0</v>
      </c>
      <c r="N29" s="60">
        <f t="shared" si="2"/>
        <v>8.6206896551724199E-2</v>
      </c>
      <c r="O29" s="59">
        <f>SUMIFS('드랍 구성 (개편)'!$AB$5:$AB$102,'드랍 구성 (개편)'!$B$5:$B$102,C29,'드랍 구성 (개편)'!$A$5:$A$102,"&lt;&gt;황금 (보너스)")+설정!$B$50*SUMIFS('드랍 구성 (개편)'!$AB$5:$AB$102,'드랍 구성 (개편)'!$B$5:$B$102,C29,'드랍 구성 (개편)'!$A$5:$A$102,"황금 (보너스)")</f>
        <v>117875</v>
      </c>
      <c r="P29" s="59">
        <f t="shared" si="3"/>
        <v>102820</v>
      </c>
      <c r="Q29" s="58">
        <f>SUM($G$5:G29)</f>
        <v>41.5</v>
      </c>
      <c r="R29" s="37" t="str">
        <f>IFERROR(INDEX(설정!$A$34:$A$39,MATCH(D29,설정!$C$34:$C$39,0)),"")</f>
        <v/>
      </c>
      <c r="S29" s="44" t="s">
        <v>237</v>
      </c>
    </row>
    <row r="30" spans="1:19" x14ac:dyDescent="0.3">
      <c r="A30" s="38" t="str">
        <f>'스테이지별 골드'!A30</f>
        <v>우주</v>
      </c>
      <c r="B30" s="38" t="str">
        <f>'스테이지별 골드'!B30</f>
        <v>달</v>
      </c>
      <c r="C30" s="46" t="str">
        <f>'스테이지별 골드'!C30</f>
        <v>7-2</v>
      </c>
      <c r="D30" s="52">
        <f t="shared" si="0"/>
        <v>26</v>
      </c>
      <c r="E30" s="52">
        <f t="shared" si="1"/>
        <v>7</v>
      </c>
      <c r="F30" s="57" t="s">
        <v>158</v>
      </c>
      <c r="G30" s="58">
        <f>INDEX(설정!$B$44:$B$48,MATCH(F30,설정!$A$44:$A$48,0))+INDEX(설정!$C$44:$C$48,MATCH(F30,설정!$A$44:$A$48,0))*(E30-1)</f>
        <v>1.5</v>
      </c>
      <c r="H30" s="39">
        <f>'스테이지별 골드'!G30</f>
        <v>17500</v>
      </c>
      <c r="I30" s="59">
        <f>ROUND(H30*INDEX(설정!$D$44:$D$48,MATCH(F30,설정!$A$44:$A$48,0)),0)</f>
        <v>17500</v>
      </c>
      <c r="J30" s="39">
        <f>'스테이지별 골드'!H30</f>
        <v>22750</v>
      </c>
      <c r="K30" s="59">
        <f>ROUND(J30*INDEX(설정!$E$44:$E$48,MATCH(F30,설정!$A$44:$A$48,0)),0)</f>
        <v>22750</v>
      </c>
      <c r="L30" s="39">
        <f>'스테이지별 골드'!I30</f>
        <v>87500</v>
      </c>
      <c r="M30" s="59">
        <f>ROUND(L30*INDEX(설정!$F$44:$F$48,MATCH(F30,설정!$A$44:$A$48,0)),0)</f>
        <v>96250</v>
      </c>
      <c r="N30" s="60">
        <f t="shared" si="2"/>
        <v>0.38888888888888884</v>
      </c>
      <c r="O30" s="59">
        <f>SUMIFS('드랍 구성 (개편)'!$AB$5:$AB$102,'드랍 구성 (개편)'!$B$5:$B$102,C30,'드랍 구성 (개편)'!$A$5:$A$102,"&lt;&gt;황금 (보너스)")+설정!$B$50*SUMIFS('드랍 구성 (개편)'!$AB$5:$AB$102,'드랍 구성 (개편)'!$B$5:$B$102,C30,'드랍 구성 (개편)'!$A$5:$A$102,"황금 (보너스)")</f>
        <v>161980</v>
      </c>
      <c r="P30" s="59">
        <f t="shared" si="3"/>
        <v>176813</v>
      </c>
      <c r="Q30" s="58">
        <f>SUM($G$5:G30)</f>
        <v>43</v>
      </c>
      <c r="R30" s="37" t="str">
        <f>IFERROR(INDEX(설정!$A$34:$A$39,MATCH(D30,설정!$C$34:$C$39,0)),"")</f>
        <v/>
      </c>
      <c r="S30" s="44" t="s">
        <v>234</v>
      </c>
    </row>
    <row r="31" spans="1:19" x14ac:dyDescent="0.3">
      <c r="A31" s="38" t="str">
        <f>'스테이지별 골드'!A31</f>
        <v>우주</v>
      </c>
      <c r="B31" s="38" t="str">
        <f>'스테이지별 골드'!B31</f>
        <v>화성</v>
      </c>
      <c r="C31" s="46" t="str">
        <f>'스테이지별 골드'!C31</f>
        <v>7-3</v>
      </c>
      <c r="D31" s="52">
        <f t="shared" si="0"/>
        <v>27</v>
      </c>
      <c r="E31" s="52">
        <f t="shared" si="1"/>
        <v>7</v>
      </c>
      <c r="F31" s="57" t="s">
        <v>156</v>
      </c>
      <c r="G31" s="58">
        <f>INDEX(설정!$B$44:$B$48,MATCH(F31,설정!$A$44:$A$48,0))+INDEX(설정!$C$44:$C$48,MATCH(F31,설정!$A$44:$A$48,0))*(E31-1)</f>
        <v>1</v>
      </c>
      <c r="H31" s="39">
        <f>'스테이지별 골드'!G31</f>
        <v>21000</v>
      </c>
      <c r="I31" s="59">
        <f>ROUND(H31*INDEX(설정!$D$44:$D$48,MATCH(F31,설정!$A$44:$A$48,0)),0)</f>
        <v>21000</v>
      </c>
      <c r="J31" s="39">
        <f>'스테이지별 골드'!H31</f>
        <v>27300</v>
      </c>
      <c r="K31" s="59">
        <f>ROUND(J31*INDEX(설정!$E$44:$E$48,MATCH(F31,설정!$A$44:$A$48,0)),0)</f>
        <v>27300</v>
      </c>
      <c r="L31" s="39">
        <f>'스테이지별 골드'!I31</f>
        <v>0</v>
      </c>
      <c r="M31" s="59">
        <f>ROUND(L31*INDEX(설정!$F$44:$F$48,MATCH(F31,설정!$A$44:$A$48,0)),0)</f>
        <v>0</v>
      </c>
      <c r="N31" s="60">
        <f t="shared" si="2"/>
        <v>0.19999999999999996</v>
      </c>
      <c r="O31" s="59">
        <f>SUMIFS('드랍 구성 (개편)'!$AB$5:$AB$102,'드랍 구성 (개편)'!$B$5:$B$102,C31,'드랍 구성 (개편)'!$A$5:$A$102,"&lt;&gt;황금 (보너스)")+설정!$B$50*SUMIFS('드랍 구성 (개편)'!$AB$5:$AB$102,'드랍 구성 (개편)'!$B$5:$B$102,C31,'드랍 구성 (개편)'!$A$5:$A$102,"황금 (보너스)")</f>
        <v>187525</v>
      </c>
      <c r="P31" s="59">
        <f t="shared" si="3"/>
        <v>161980</v>
      </c>
      <c r="Q31" s="58">
        <f>SUM($G$5:G31)</f>
        <v>44</v>
      </c>
      <c r="R31" s="37" t="str">
        <f>IFERROR(INDEX(설정!$A$34:$A$39,MATCH(D31,설정!$C$34:$C$39,0)),"")</f>
        <v/>
      </c>
      <c r="S31" s="44" t="s">
        <v>235</v>
      </c>
    </row>
    <row r="32" spans="1:19" x14ac:dyDescent="0.3">
      <c r="A32" s="38" t="str">
        <f>'스테이지별 골드'!A32</f>
        <v>우주</v>
      </c>
      <c r="B32" s="38" t="str">
        <f>'스테이지별 골드'!B32</f>
        <v>화성</v>
      </c>
      <c r="C32" s="46" t="str">
        <f>'스테이지별 골드'!C32</f>
        <v>7-4</v>
      </c>
      <c r="D32" s="52">
        <f t="shared" si="0"/>
        <v>28</v>
      </c>
      <c r="E32" s="52">
        <f t="shared" si="1"/>
        <v>7</v>
      </c>
      <c r="F32" s="61" t="s">
        <v>160</v>
      </c>
      <c r="G32" s="58">
        <f>INDEX(설정!$B$44:$B$48,MATCH(F32,설정!$A$44:$A$48,0))+INDEX(설정!$C$44:$C$48,MATCH(F32,설정!$A$44:$A$48,0))*(E32-1)</f>
        <v>5</v>
      </c>
      <c r="H32" s="39">
        <f>'스테이지별 골드'!G32</f>
        <v>26000</v>
      </c>
      <c r="I32" s="59">
        <f>ROUND(H32*INDEX(설정!$D$44:$D$48,MATCH(F32,설정!$A$44:$A$48,0)),0)</f>
        <v>26000</v>
      </c>
      <c r="J32" s="39">
        <f>'스테이지별 골드'!H32</f>
        <v>33800</v>
      </c>
      <c r="K32" s="59">
        <f>ROUND(J32*INDEX(설정!$E$44:$E$48,MATCH(F32,설정!$A$44:$A$48,0)),0)</f>
        <v>43940</v>
      </c>
      <c r="L32" s="39">
        <f>'스테이지별 골드'!I32</f>
        <v>130000</v>
      </c>
      <c r="M32" s="59">
        <f>ROUND(L32*INDEX(설정!$F$44:$F$48,MATCH(F32,설정!$A$44:$A$48,0)),0)</f>
        <v>169000</v>
      </c>
      <c r="N32" s="60">
        <f t="shared" si="2"/>
        <v>0.23809523809523814</v>
      </c>
      <c r="O32" s="59">
        <f>SUMIFS('드랍 구성 (개편)'!$AB$5:$AB$102,'드랍 구성 (개편)'!$B$5:$B$102,C32,'드랍 구성 (개편)'!$A$5:$A$102,"&lt;&gt;황금 (보너스)")+설정!$B$50*SUMIFS('드랍 구성 (개편)'!$AB$5:$AB$102,'드랍 구성 (개편)'!$B$5:$B$102,C32,'드랍 구성 (개편)'!$A$5:$A$102,"황금 (보너스)")</f>
        <v>251640</v>
      </c>
      <c r="P32" s="59">
        <f t="shared" si="3"/>
        <v>937625</v>
      </c>
      <c r="Q32" s="58">
        <f>SUM($G$5:G32)</f>
        <v>49</v>
      </c>
      <c r="R32" s="37" t="str">
        <f>IFERROR(INDEX(설정!$A$34:$A$39,MATCH(D32,설정!$C$34:$C$39,0)),"")</f>
        <v>왕관</v>
      </c>
      <c r="S32" s="44" t="s">
        <v>236</v>
      </c>
    </row>
    <row r="33" spans="1:19" x14ac:dyDescent="0.3">
      <c r="A33" s="62" t="s">
        <v>15</v>
      </c>
      <c r="B33" s="63"/>
      <c r="C33" s="63"/>
      <c r="D33" s="63"/>
      <c r="E33" s="63"/>
      <c r="F33" s="63"/>
      <c r="G33" s="64">
        <f>SUM(G5:G32)</f>
        <v>49</v>
      </c>
      <c r="H33" s="63"/>
      <c r="I33" s="63"/>
      <c r="J33" s="63"/>
      <c r="K33" s="63"/>
      <c r="L33" s="63"/>
      <c r="M33" s="63"/>
      <c r="N33" s="63"/>
      <c r="O33" s="65">
        <f>SUM(O5:O32)</f>
        <v>1177445.2</v>
      </c>
      <c r="P33" s="65">
        <f>SUM(P5:P32)</f>
        <v>2144071</v>
      </c>
      <c r="Q33" s="63"/>
      <c r="R33" s="63"/>
      <c r="S33" s="63"/>
    </row>
  </sheetData>
  <phoneticPr fontId="9" type="noConversion"/>
  <conditionalFormatting sqref="A5:S32">
    <cfRule type="expression" dxfId="5" priority="1">
      <formula>$F5="대허들"</formula>
    </cfRule>
    <cfRule type="expression" dxfId="4" priority="2">
      <formula>$F5="소허들"</formula>
    </cfRule>
    <cfRule type="expression" dxfId="3" priority="3">
      <formula>$F5="돌파"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2"/>
  <sheetViews>
    <sheetView workbookViewId="0">
      <pane xSplit="2" ySplit="4" topLeftCell="C8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9" customWidth="1"/>
    <col min="2" max="2" width="13" customWidth="1"/>
    <col min="3" max="3" width="10" customWidth="1"/>
    <col min="4" max="4" width="14" customWidth="1"/>
    <col min="5" max="5" width="8" customWidth="1"/>
    <col min="6" max="6" width="11" customWidth="1"/>
    <col min="7" max="7" width="8" customWidth="1"/>
    <col min="8" max="8" width="10" customWidth="1"/>
    <col min="9" max="9" width="8" customWidth="1"/>
    <col min="10" max="10" width="9" customWidth="1"/>
    <col min="11" max="11" width="10" customWidth="1"/>
    <col min="12" max="12" width="12" customWidth="1"/>
  </cols>
  <sheetData>
    <row r="1" spans="1:12" ht="20.25" customHeight="1" x14ac:dyDescent="0.35">
      <c r="A1" s="1" t="s">
        <v>238</v>
      </c>
    </row>
    <row r="2" spans="1:12" x14ac:dyDescent="0.3">
      <c r="A2" s="2" t="s">
        <v>239</v>
      </c>
    </row>
    <row r="3" spans="1:12" x14ac:dyDescent="0.3">
      <c r="D3" s="2" t="s">
        <v>240</v>
      </c>
      <c r="E3" s="27">
        <f>설정!$B$20</f>
        <v>1000</v>
      </c>
      <c r="F3" s="27">
        <f>설정!$B$19</f>
        <v>500</v>
      </c>
      <c r="G3" s="27">
        <f>설정!$B$18</f>
        <v>100</v>
      </c>
      <c r="H3" s="27">
        <f>설정!$B$17</f>
        <v>25</v>
      </c>
      <c r="I3" s="27">
        <f>설정!$B$16</f>
        <v>5</v>
      </c>
      <c r="J3" s="27">
        <f>설정!$B$15</f>
        <v>1</v>
      </c>
    </row>
    <row r="4" spans="1:12" x14ac:dyDescent="0.3">
      <c r="A4" s="3" t="s">
        <v>80</v>
      </c>
      <c r="B4" s="3" t="s">
        <v>58</v>
      </c>
      <c r="C4" s="3" t="s">
        <v>241</v>
      </c>
      <c r="D4" s="3" t="s">
        <v>242</v>
      </c>
      <c r="E4" s="3" t="s">
        <v>64</v>
      </c>
      <c r="F4" s="3" t="s">
        <v>63</v>
      </c>
      <c r="G4" s="3" t="s">
        <v>62</v>
      </c>
      <c r="H4" s="3" t="s">
        <v>61</v>
      </c>
      <c r="I4" s="3" t="s">
        <v>60</v>
      </c>
      <c r="J4" s="3" t="s">
        <v>59</v>
      </c>
      <c r="K4" s="3" t="s">
        <v>243</v>
      </c>
      <c r="L4" s="3" t="s">
        <v>244</v>
      </c>
    </row>
    <row r="5" spans="1:12" x14ac:dyDescent="0.3">
      <c r="A5" s="13" t="str">
        <f>'스테이지별 골드'!C5</f>
        <v>1-1</v>
      </c>
      <c r="B5" s="23" t="s">
        <v>65</v>
      </c>
      <c r="C5" s="5">
        <f>'스테이지별 골드'!J5</f>
        <v>10</v>
      </c>
      <c r="D5" s="6">
        <f>IF(C5&gt;=E$3*설정!$B$10,E$3,IF(C5&gt;=F$3*설정!$B$10,F$3,IF(C5&gt;=G$3*설정!$B$10,G$3,IF(C5&gt;=H$3*설정!$B$10,H$3,IF(C5&gt;=I$3*설정!$B$10,I$3,J$3)))))</f>
        <v>1</v>
      </c>
      <c r="E5" s="6">
        <f t="shared" ref="E5:E36" si="0">IF(E$3&lt;=$D5,INT($C5/E$3),0)</f>
        <v>0</v>
      </c>
      <c r="F5" s="6">
        <f>IF(F$3&lt;=$D5,INT(($C5-SUMPRODUCT($E5:E5,$E$3:E$3))/F$3),0)</f>
        <v>0</v>
      </c>
      <c r="G5" s="6">
        <f>IF(G$3&lt;=$D5,INT(($C5-SUMPRODUCT($E5:F5,$E$3:F$3))/G$3),0)</f>
        <v>0</v>
      </c>
      <c r="H5" s="6">
        <f>IF(H$3&lt;=$D5,INT(($C5-SUMPRODUCT($E5:G5,$E$3:G$3))/H$3),0)</f>
        <v>0</v>
      </c>
      <c r="I5" s="6">
        <f>IF(I$3&lt;=$D5,INT(($C5-SUMPRODUCT($E5:H5,$E$3:H$3))/I$3),0)</f>
        <v>0</v>
      </c>
      <c r="J5" s="6">
        <f>INT(($C5-SUMPRODUCT($E5:I5,$E$3:I$3))/J$3)</f>
        <v>10</v>
      </c>
      <c r="K5" s="4">
        <f t="shared" ref="K5:K36" si="1">SUM(E5:J5)</f>
        <v>10</v>
      </c>
      <c r="L5" s="6">
        <f t="shared" ref="L5:L36" si="2">SUMPRODUCT(E5:J5,$E$3:$J$3)</f>
        <v>10</v>
      </c>
    </row>
    <row r="6" spans="1:12" x14ac:dyDescent="0.3">
      <c r="A6" s="13" t="str">
        <f>'스테이지별 골드'!C5</f>
        <v>1-1</v>
      </c>
      <c r="B6" s="23" t="s">
        <v>66</v>
      </c>
      <c r="C6" s="5">
        <f>'스테이지별 골드'!K5</f>
        <v>16</v>
      </c>
      <c r="D6" s="6">
        <f>IF(C6&gt;=E$3*설정!$B$10,E$3,IF(C6&gt;=F$3*설정!$B$10,F$3,IF(C6&gt;=G$3*설정!$B$10,G$3,IF(C6&gt;=H$3*설정!$B$10,H$3,IF(C6&gt;=I$3*설정!$B$10,I$3,J$3)))))</f>
        <v>1</v>
      </c>
      <c r="E6" s="6">
        <f t="shared" si="0"/>
        <v>0</v>
      </c>
      <c r="F6" s="6">
        <f>IF(F$3&lt;=$D6,INT(($C6-SUMPRODUCT($E6:E6,$E$3:E$3))/F$3),0)</f>
        <v>0</v>
      </c>
      <c r="G6" s="6">
        <f>IF(G$3&lt;=$D6,INT(($C6-SUMPRODUCT($E6:F6,$E$3:F$3))/G$3),0)</f>
        <v>0</v>
      </c>
      <c r="H6" s="6">
        <f>IF(H$3&lt;=$D6,INT(($C6-SUMPRODUCT($E6:G6,$E$3:G$3))/H$3),0)</f>
        <v>0</v>
      </c>
      <c r="I6" s="6">
        <f>IF(I$3&lt;=$D6,INT(($C6-SUMPRODUCT($E6:H6,$E$3:H$3))/I$3),0)</f>
        <v>0</v>
      </c>
      <c r="J6" s="6">
        <f>INT(($C6-SUMPRODUCT($E6:I6,$E$3:I$3))/J$3)</f>
        <v>16</v>
      </c>
      <c r="K6" s="4">
        <f t="shared" si="1"/>
        <v>16</v>
      </c>
      <c r="L6" s="6">
        <f t="shared" si="2"/>
        <v>16</v>
      </c>
    </row>
    <row r="7" spans="1:12" x14ac:dyDescent="0.3">
      <c r="A7" s="13" t="str">
        <f>'스테이지별 골드'!C5</f>
        <v>1-1</v>
      </c>
      <c r="B7" s="23" t="s">
        <v>68</v>
      </c>
      <c r="C7" s="5">
        <f>'스테이지별 골드'!P5</f>
        <v>45</v>
      </c>
      <c r="D7" s="6">
        <f>IF(C7&gt;=E$3*설정!$B$10,E$3,IF(C7&gt;=F$3*설정!$B$10,F$3,IF(C7&gt;=G$3*설정!$B$10,G$3,IF(C7&gt;=H$3*설정!$B$10,H$3,IF(C7&gt;=I$3*설정!$B$10,I$3,J$3)))))</f>
        <v>5</v>
      </c>
      <c r="E7" s="6">
        <f t="shared" si="0"/>
        <v>0</v>
      </c>
      <c r="F7" s="6">
        <f>IF(F$3&lt;=$D7,INT(($C7-SUMPRODUCT($E7:E7,$E$3:E$3))/F$3),0)</f>
        <v>0</v>
      </c>
      <c r="G7" s="6">
        <f>IF(G$3&lt;=$D7,INT(($C7-SUMPRODUCT($E7:F7,$E$3:F$3))/G$3),0)</f>
        <v>0</v>
      </c>
      <c r="H7" s="6">
        <f>IF(H$3&lt;=$D7,INT(($C7-SUMPRODUCT($E7:G7,$E$3:G$3))/H$3),0)</f>
        <v>0</v>
      </c>
      <c r="I7" s="6">
        <f>IF(I$3&lt;=$D7,INT(($C7-SUMPRODUCT($E7:H7,$E$3:H$3))/I$3),0)</f>
        <v>9</v>
      </c>
      <c r="J7" s="6">
        <f>INT(($C7-SUMPRODUCT($E7:I7,$E$3:I$3))/J$3)</f>
        <v>0</v>
      </c>
      <c r="K7" s="4">
        <f t="shared" si="1"/>
        <v>9</v>
      </c>
      <c r="L7" s="6">
        <f t="shared" si="2"/>
        <v>45</v>
      </c>
    </row>
    <row r="8" spans="1:12" x14ac:dyDescent="0.3">
      <c r="A8" s="28" t="str">
        <f>'스테이지별 골드'!C6</f>
        <v>1-2</v>
      </c>
      <c r="B8" s="24" t="s">
        <v>65</v>
      </c>
      <c r="C8" s="29">
        <f>'스테이지별 골드'!J6</f>
        <v>13</v>
      </c>
      <c r="D8" s="30">
        <f>IF(C8&gt;=E$3*설정!$B$10,E$3,IF(C8&gt;=F$3*설정!$B$10,F$3,IF(C8&gt;=G$3*설정!$B$10,G$3,IF(C8&gt;=H$3*설정!$B$10,H$3,IF(C8&gt;=I$3*설정!$B$10,I$3,J$3)))))</f>
        <v>1</v>
      </c>
      <c r="E8" s="30">
        <f t="shared" si="0"/>
        <v>0</v>
      </c>
      <c r="F8" s="30">
        <f>IF(F$3&lt;=$D8,INT(($C8-SUMPRODUCT($E8:E8,$E$3:E$3))/F$3),0)</f>
        <v>0</v>
      </c>
      <c r="G8" s="30">
        <f>IF(G$3&lt;=$D8,INT(($C8-SUMPRODUCT($E8:F8,$E$3:F$3))/G$3),0)</f>
        <v>0</v>
      </c>
      <c r="H8" s="30">
        <f>IF(H$3&lt;=$D8,INT(($C8-SUMPRODUCT($E8:G8,$E$3:G$3))/H$3),0)</f>
        <v>0</v>
      </c>
      <c r="I8" s="30">
        <f>IF(I$3&lt;=$D8,INT(($C8-SUMPRODUCT($E8:H8,$E$3:H$3))/I$3),0)</f>
        <v>0</v>
      </c>
      <c r="J8" s="30">
        <f>INT(($C8-SUMPRODUCT($E8:I8,$E$3:I$3))/J$3)</f>
        <v>13</v>
      </c>
      <c r="K8" s="25">
        <f t="shared" si="1"/>
        <v>13</v>
      </c>
      <c r="L8" s="30">
        <f t="shared" si="2"/>
        <v>13</v>
      </c>
    </row>
    <row r="9" spans="1:12" x14ac:dyDescent="0.3">
      <c r="A9" s="28" t="str">
        <f>'스테이지별 골드'!C6</f>
        <v>1-2</v>
      </c>
      <c r="B9" s="24" t="s">
        <v>66</v>
      </c>
      <c r="C9" s="29">
        <f>'스테이지별 골드'!K6</f>
        <v>20</v>
      </c>
      <c r="D9" s="30">
        <f>IF(C9&gt;=E$3*설정!$B$10,E$3,IF(C9&gt;=F$3*설정!$B$10,F$3,IF(C9&gt;=G$3*설정!$B$10,G$3,IF(C9&gt;=H$3*설정!$B$10,H$3,IF(C9&gt;=I$3*설정!$B$10,I$3,J$3)))))</f>
        <v>1</v>
      </c>
      <c r="E9" s="30">
        <f t="shared" si="0"/>
        <v>0</v>
      </c>
      <c r="F9" s="30">
        <f>IF(F$3&lt;=$D9,INT(($C9-SUMPRODUCT($E9:E9,$E$3:E$3))/F$3),0)</f>
        <v>0</v>
      </c>
      <c r="G9" s="30">
        <f>IF(G$3&lt;=$D9,INT(($C9-SUMPRODUCT($E9:F9,$E$3:F$3))/G$3),0)</f>
        <v>0</v>
      </c>
      <c r="H9" s="30">
        <f>IF(H$3&lt;=$D9,INT(($C9-SUMPRODUCT($E9:G9,$E$3:G$3))/H$3),0)</f>
        <v>0</v>
      </c>
      <c r="I9" s="30">
        <f>IF(I$3&lt;=$D9,INT(($C9-SUMPRODUCT($E9:H9,$E$3:H$3))/I$3),0)</f>
        <v>0</v>
      </c>
      <c r="J9" s="30">
        <f>INT(($C9-SUMPRODUCT($E9:I9,$E$3:I$3))/J$3)</f>
        <v>20</v>
      </c>
      <c r="K9" s="25">
        <f t="shared" si="1"/>
        <v>20</v>
      </c>
      <c r="L9" s="30">
        <f t="shared" si="2"/>
        <v>20</v>
      </c>
    </row>
    <row r="10" spans="1:12" x14ac:dyDescent="0.3">
      <c r="A10" s="28" t="str">
        <f>'스테이지별 골드'!C6</f>
        <v>1-2</v>
      </c>
      <c r="B10" s="24" t="s">
        <v>67</v>
      </c>
      <c r="C10" s="29">
        <f>'스테이지별 골드'!L6</f>
        <v>94</v>
      </c>
      <c r="D10" s="30">
        <f>IF(C10&gt;=E$3*설정!$B$10,E$3,IF(C10&gt;=F$3*설정!$B$10,F$3,IF(C10&gt;=G$3*설정!$B$10,G$3,IF(C10&gt;=H$3*설정!$B$10,H$3,IF(C10&gt;=I$3*설정!$B$10,I$3,J$3)))))</f>
        <v>5</v>
      </c>
      <c r="E10" s="30">
        <f t="shared" si="0"/>
        <v>0</v>
      </c>
      <c r="F10" s="30">
        <f>IF(F$3&lt;=$D10,INT(($C10-SUMPRODUCT($E10:E10,$E$3:E$3))/F$3),0)</f>
        <v>0</v>
      </c>
      <c r="G10" s="30">
        <f>IF(G$3&lt;=$D10,INT(($C10-SUMPRODUCT($E10:F10,$E$3:F$3))/G$3),0)</f>
        <v>0</v>
      </c>
      <c r="H10" s="30">
        <f>IF(H$3&lt;=$D10,INT(($C10-SUMPRODUCT($E10:G10,$E$3:G$3))/H$3),0)</f>
        <v>0</v>
      </c>
      <c r="I10" s="30">
        <f>IF(I$3&lt;=$D10,INT(($C10-SUMPRODUCT($E10:H10,$E$3:H$3))/I$3),0)</f>
        <v>18</v>
      </c>
      <c r="J10" s="30">
        <f>INT(($C10-SUMPRODUCT($E10:I10,$E$3:I$3))/J$3)</f>
        <v>4</v>
      </c>
      <c r="K10" s="25">
        <f t="shared" si="1"/>
        <v>22</v>
      </c>
      <c r="L10" s="30">
        <f t="shared" si="2"/>
        <v>94</v>
      </c>
    </row>
    <row r="11" spans="1:12" x14ac:dyDescent="0.3">
      <c r="A11" s="28" t="str">
        <f>'스테이지별 골드'!C6</f>
        <v>1-2</v>
      </c>
      <c r="B11" s="24" t="s">
        <v>68</v>
      </c>
      <c r="C11" s="29">
        <f>'스테이지별 골드'!P6</f>
        <v>56</v>
      </c>
      <c r="D11" s="30">
        <f>IF(C11&gt;=E$3*설정!$B$10,E$3,IF(C11&gt;=F$3*설정!$B$10,F$3,IF(C11&gt;=G$3*설정!$B$10,G$3,IF(C11&gt;=H$3*설정!$B$10,H$3,IF(C11&gt;=I$3*설정!$B$10,I$3,J$3)))))</f>
        <v>5</v>
      </c>
      <c r="E11" s="30">
        <f t="shared" si="0"/>
        <v>0</v>
      </c>
      <c r="F11" s="30">
        <f>IF(F$3&lt;=$D11,INT(($C11-SUMPRODUCT($E11:E11,$E$3:E$3))/F$3),0)</f>
        <v>0</v>
      </c>
      <c r="G11" s="30">
        <f>IF(G$3&lt;=$D11,INT(($C11-SUMPRODUCT($E11:F11,$E$3:F$3))/G$3),0)</f>
        <v>0</v>
      </c>
      <c r="H11" s="30">
        <f>IF(H$3&lt;=$D11,INT(($C11-SUMPRODUCT($E11:G11,$E$3:G$3))/H$3),0)</f>
        <v>0</v>
      </c>
      <c r="I11" s="30">
        <f>IF(I$3&lt;=$D11,INT(($C11-SUMPRODUCT($E11:H11,$E$3:H$3))/I$3),0)</f>
        <v>11</v>
      </c>
      <c r="J11" s="30">
        <f>INT(($C11-SUMPRODUCT($E11:I11,$E$3:I$3))/J$3)</f>
        <v>1</v>
      </c>
      <c r="K11" s="25">
        <f t="shared" si="1"/>
        <v>12</v>
      </c>
      <c r="L11" s="30">
        <f t="shared" si="2"/>
        <v>56</v>
      </c>
    </row>
    <row r="12" spans="1:12" x14ac:dyDescent="0.3">
      <c r="A12" s="13" t="str">
        <f>'스테이지별 골드'!C7</f>
        <v>1-3</v>
      </c>
      <c r="B12" s="23" t="s">
        <v>65</v>
      </c>
      <c r="C12" s="5">
        <f>'스테이지별 골드'!J7</f>
        <v>15</v>
      </c>
      <c r="D12" s="6">
        <f>IF(C12&gt;=E$3*설정!$B$10,E$3,IF(C12&gt;=F$3*설정!$B$10,F$3,IF(C12&gt;=G$3*설정!$B$10,G$3,IF(C12&gt;=H$3*설정!$B$10,H$3,IF(C12&gt;=I$3*설정!$B$10,I$3,J$3)))))</f>
        <v>1</v>
      </c>
      <c r="E12" s="6">
        <f t="shared" si="0"/>
        <v>0</v>
      </c>
      <c r="F12" s="6">
        <f>IF(F$3&lt;=$D12,INT(($C12-SUMPRODUCT($E12:E12,$E$3:E$3))/F$3),0)</f>
        <v>0</v>
      </c>
      <c r="G12" s="6">
        <f>IF(G$3&lt;=$D12,INT(($C12-SUMPRODUCT($E12:F12,$E$3:F$3))/G$3),0)</f>
        <v>0</v>
      </c>
      <c r="H12" s="6">
        <f>IF(H$3&lt;=$D12,INT(($C12-SUMPRODUCT($E12:G12,$E$3:G$3))/H$3),0)</f>
        <v>0</v>
      </c>
      <c r="I12" s="6">
        <f>IF(I$3&lt;=$D12,INT(($C12-SUMPRODUCT($E12:H12,$E$3:H$3))/I$3),0)</f>
        <v>0</v>
      </c>
      <c r="J12" s="6">
        <f>INT(($C12-SUMPRODUCT($E12:I12,$E$3:I$3))/J$3)</f>
        <v>15</v>
      </c>
      <c r="K12" s="4">
        <f t="shared" si="1"/>
        <v>15</v>
      </c>
      <c r="L12" s="6">
        <f t="shared" si="2"/>
        <v>15</v>
      </c>
    </row>
    <row r="13" spans="1:12" x14ac:dyDescent="0.3">
      <c r="A13" s="13" t="str">
        <f>'스테이지별 골드'!C7</f>
        <v>1-3</v>
      </c>
      <c r="B13" s="23" t="s">
        <v>66</v>
      </c>
      <c r="C13" s="5">
        <f>'스테이지별 골드'!K7</f>
        <v>24</v>
      </c>
      <c r="D13" s="6">
        <f>IF(C13&gt;=E$3*설정!$B$10,E$3,IF(C13&gt;=F$3*설정!$B$10,F$3,IF(C13&gt;=G$3*설정!$B$10,G$3,IF(C13&gt;=H$3*설정!$B$10,H$3,IF(C13&gt;=I$3*설정!$B$10,I$3,J$3)))))</f>
        <v>1</v>
      </c>
      <c r="E13" s="6">
        <f t="shared" si="0"/>
        <v>0</v>
      </c>
      <c r="F13" s="6">
        <f>IF(F$3&lt;=$D13,INT(($C13-SUMPRODUCT($E13:E13,$E$3:E$3))/F$3),0)</f>
        <v>0</v>
      </c>
      <c r="G13" s="6">
        <f>IF(G$3&lt;=$D13,INT(($C13-SUMPRODUCT($E13:F13,$E$3:F$3))/G$3),0)</f>
        <v>0</v>
      </c>
      <c r="H13" s="6">
        <f>IF(H$3&lt;=$D13,INT(($C13-SUMPRODUCT($E13:G13,$E$3:G$3))/H$3),0)</f>
        <v>0</v>
      </c>
      <c r="I13" s="6">
        <f>IF(I$3&lt;=$D13,INT(($C13-SUMPRODUCT($E13:H13,$E$3:H$3))/I$3),0)</f>
        <v>0</v>
      </c>
      <c r="J13" s="6">
        <f>INT(($C13-SUMPRODUCT($E13:I13,$E$3:I$3))/J$3)</f>
        <v>24</v>
      </c>
      <c r="K13" s="4">
        <f t="shared" si="1"/>
        <v>24</v>
      </c>
      <c r="L13" s="6">
        <f t="shared" si="2"/>
        <v>24</v>
      </c>
    </row>
    <row r="14" spans="1:12" x14ac:dyDescent="0.3">
      <c r="A14" s="13" t="str">
        <f>'스테이지별 골드'!C7</f>
        <v>1-3</v>
      </c>
      <c r="B14" s="23" t="s">
        <v>68</v>
      </c>
      <c r="C14" s="5">
        <f>'스테이지별 골드'!P7</f>
        <v>68</v>
      </c>
      <c r="D14" s="6">
        <f>IF(C14&gt;=E$3*설정!$B$10,E$3,IF(C14&gt;=F$3*설정!$B$10,F$3,IF(C14&gt;=G$3*설정!$B$10,G$3,IF(C14&gt;=H$3*설정!$B$10,H$3,IF(C14&gt;=I$3*설정!$B$10,I$3,J$3)))))</f>
        <v>5</v>
      </c>
      <c r="E14" s="6">
        <f t="shared" si="0"/>
        <v>0</v>
      </c>
      <c r="F14" s="6">
        <f>IF(F$3&lt;=$D14,INT(($C14-SUMPRODUCT($E14:E14,$E$3:E$3))/F$3),0)</f>
        <v>0</v>
      </c>
      <c r="G14" s="6">
        <f>IF(G$3&lt;=$D14,INT(($C14-SUMPRODUCT($E14:F14,$E$3:F$3))/G$3),0)</f>
        <v>0</v>
      </c>
      <c r="H14" s="6">
        <f>IF(H$3&lt;=$D14,INT(($C14-SUMPRODUCT($E14:G14,$E$3:G$3))/H$3),0)</f>
        <v>0</v>
      </c>
      <c r="I14" s="6">
        <f>IF(I$3&lt;=$D14,INT(($C14-SUMPRODUCT($E14:H14,$E$3:H$3))/I$3),0)</f>
        <v>13</v>
      </c>
      <c r="J14" s="6">
        <f>INT(($C14-SUMPRODUCT($E14:I14,$E$3:I$3))/J$3)</f>
        <v>3</v>
      </c>
      <c r="K14" s="4">
        <f t="shared" si="1"/>
        <v>16</v>
      </c>
      <c r="L14" s="6">
        <f t="shared" si="2"/>
        <v>68</v>
      </c>
    </row>
    <row r="15" spans="1:12" x14ac:dyDescent="0.3">
      <c r="A15" s="28" t="str">
        <f>'스테이지별 골드'!C8</f>
        <v>1-4</v>
      </c>
      <c r="B15" s="24" t="s">
        <v>65</v>
      </c>
      <c r="C15" s="29">
        <f>'스테이지별 골드'!J8</f>
        <v>19</v>
      </c>
      <c r="D15" s="30">
        <f>IF(C15&gt;=E$3*설정!$B$10,E$3,IF(C15&gt;=F$3*설정!$B$10,F$3,IF(C15&gt;=G$3*설정!$B$10,G$3,IF(C15&gt;=H$3*설정!$B$10,H$3,IF(C15&gt;=I$3*설정!$B$10,I$3,J$3)))))</f>
        <v>1</v>
      </c>
      <c r="E15" s="30">
        <f t="shared" si="0"/>
        <v>0</v>
      </c>
      <c r="F15" s="30">
        <f>IF(F$3&lt;=$D15,INT(($C15-SUMPRODUCT($E15:E15,$E$3:E$3))/F$3),0)</f>
        <v>0</v>
      </c>
      <c r="G15" s="30">
        <f>IF(G$3&lt;=$D15,INT(($C15-SUMPRODUCT($E15:F15,$E$3:F$3))/G$3),0)</f>
        <v>0</v>
      </c>
      <c r="H15" s="30">
        <f>IF(H$3&lt;=$D15,INT(($C15-SUMPRODUCT($E15:G15,$E$3:G$3))/H$3),0)</f>
        <v>0</v>
      </c>
      <c r="I15" s="30">
        <f>IF(I$3&lt;=$D15,INT(($C15-SUMPRODUCT($E15:H15,$E$3:H$3))/I$3),0)</f>
        <v>0</v>
      </c>
      <c r="J15" s="30">
        <f>INT(($C15-SUMPRODUCT($E15:I15,$E$3:I$3))/J$3)</f>
        <v>19</v>
      </c>
      <c r="K15" s="25">
        <f t="shared" si="1"/>
        <v>19</v>
      </c>
      <c r="L15" s="30">
        <f t="shared" si="2"/>
        <v>19</v>
      </c>
    </row>
    <row r="16" spans="1:12" x14ac:dyDescent="0.3">
      <c r="A16" s="28" t="str">
        <f>'스테이지별 골드'!C8</f>
        <v>1-4</v>
      </c>
      <c r="B16" s="24" t="s">
        <v>66</v>
      </c>
      <c r="C16" s="29">
        <f>'스테이지별 골드'!K8</f>
        <v>30</v>
      </c>
      <c r="D16" s="30">
        <f>IF(C16&gt;=E$3*설정!$B$10,E$3,IF(C16&gt;=F$3*설정!$B$10,F$3,IF(C16&gt;=G$3*설정!$B$10,G$3,IF(C16&gt;=H$3*설정!$B$10,H$3,IF(C16&gt;=I$3*설정!$B$10,I$3,J$3)))))</f>
        <v>5</v>
      </c>
      <c r="E16" s="30">
        <f t="shared" si="0"/>
        <v>0</v>
      </c>
      <c r="F16" s="30">
        <f>IF(F$3&lt;=$D16,INT(($C16-SUMPRODUCT($E16:E16,$E$3:E$3))/F$3),0)</f>
        <v>0</v>
      </c>
      <c r="G16" s="30">
        <f>IF(G$3&lt;=$D16,INT(($C16-SUMPRODUCT($E16:F16,$E$3:F$3))/G$3),0)</f>
        <v>0</v>
      </c>
      <c r="H16" s="30">
        <f>IF(H$3&lt;=$D16,INT(($C16-SUMPRODUCT($E16:G16,$E$3:G$3))/H$3),0)</f>
        <v>0</v>
      </c>
      <c r="I16" s="30">
        <f>IF(I$3&lt;=$D16,INT(($C16-SUMPRODUCT($E16:H16,$E$3:H$3))/I$3),0)</f>
        <v>6</v>
      </c>
      <c r="J16" s="30">
        <f>INT(($C16-SUMPRODUCT($E16:I16,$E$3:I$3))/J$3)</f>
        <v>0</v>
      </c>
      <c r="K16" s="25">
        <f t="shared" si="1"/>
        <v>6</v>
      </c>
      <c r="L16" s="30">
        <f t="shared" si="2"/>
        <v>30</v>
      </c>
    </row>
    <row r="17" spans="1:12" x14ac:dyDescent="0.3">
      <c r="A17" s="28" t="str">
        <f>'스테이지별 골드'!C8</f>
        <v>1-4</v>
      </c>
      <c r="B17" s="24" t="s">
        <v>67</v>
      </c>
      <c r="C17" s="29">
        <f>'스테이지별 골드'!L8</f>
        <v>143</v>
      </c>
      <c r="D17" s="30">
        <f>IF(C17&gt;=E$3*설정!$B$10,E$3,IF(C17&gt;=F$3*설정!$B$10,F$3,IF(C17&gt;=G$3*설정!$B$10,G$3,IF(C17&gt;=H$3*설정!$B$10,H$3,IF(C17&gt;=I$3*설정!$B$10,I$3,J$3)))))</f>
        <v>25</v>
      </c>
      <c r="E17" s="30">
        <f t="shared" si="0"/>
        <v>0</v>
      </c>
      <c r="F17" s="30">
        <f>IF(F$3&lt;=$D17,INT(($C17-SUMPRODUCT($E17:E17,$E$3:E$3))/F$3),0)</f>
        <v>0</v>
      </c>
      <c r="G17" s="30">
        <f>IF(G$3&lt;=$D17,INT(($C17-SUMPRODUCT($E17:F17,$E$3:F$3))/G$3),0)</f>
        <v>0</v>
      </c>
      <c r="H17" s="30">
        <f>IF(H$3&lt;=$D17,INT(($C17-SUMPRODUCT($E17:G17,$E$3:G$3))/H$3),0)</f>
        <v>5</v>
      </c>
      <c r="I17" s="30">
        <f>IF(I$3&lt;=$D17,INT(($C17-SUMPRODUCT($E17:H17,$E$3:H$3))/I$3),0)</f>
        <v>3</v>
      </c>
      <c r="J17" s="30">
        <f>INT(($C17-SUMPRODUCT($E17:I17,$E$3:I$3))/J$3)</f>
        <v>3</v>
      </c>
      <c r="K17" s="25">
        <f t="shared" si="1"/>
        <v>11</v>
      </c>
      <c r="L17" s="30">
        <f t="shared" si="2"/>
        <v>143</v>
      </c>
    </row>
    <row r="18" spans="1:12" x14ac:dyDescent="0.3">
      <c r="A18" s="28" t="str">
        <f>'스테이지별 골드'!C8</f>
        <v>1-4</v>
      </c>
      <c r="B18" s="24" t="s">
        <v>68</v>
      </c>
      <c r="C18" s="29">
        <f>'스테이지별 골드'!P8</f>
        <v>86</v>
      </c>
      <c r="D18" s="30">
        <f>IF(C18&gt;=E$3*설정!$B$10,E$3,IF(C18&gt;=F$3*설정!$B$10,F$3,IF(C18&gt;=G$3*설정!$B$10,G$3,IF(C18&gt;=H$3*설정!$B$10,H$3,IF(C18&gt;=I$3*설정!$B$10,I$3,J$3)))))</f>
        <v>5</v>
      </c>
      <c r="E18" s="30">
        <f t="shared" si="0"/>
        <v>0</v>
      </c>
      <c r="F18" s="30">
        <f>IF(F$3&lt;=$D18,INT(($C18-SUMPRODUCT($E18:E18,$E$3:E$3))/F$3),0)</f>
        <v>0</v>
      </c>
      <c r="G18" s="30">
        <f>IF(G$3&lt;=$D18,INT(($C18-SUMPRODUCT($E18:F18,$E$3:F$3))/G$3),0)</f>
        <v>0</v>
      </c>
      <c r="H18" s="30">
        <f>IF(H$3&lt;=$D18,INT(($C18-SUMPRODUCT($E18:G18,$E$3:G$3))/H$3),0)</f>
        <v>0</v>
      </c>
      <c r="I18" s="30">
        <f>IF(I$3&lt;=$D18,INT(($C18-SUMPRODUCT($E18:H18,$E$3:H$3))/I$3),0)</f>
        <v>17</v>
      </c>
      <c r="J18" s="30">
        <f>INT(($C18-SUMPRODUCT($E18:I18,$E$3:I$3))/J$3)</f>
        <v>1</v>
      </c>
      <c r="K18" s="25">
        <f t="shared" si="1"/>
        <v>18</v>
      </c>
      <c r="L18" s="30">
        <f t="shared" si="2"/>
        <v>86</v>
      </c>
    </row>
    <row r="19" spans="1:12" x14ac:dyDescent="0.3">
      <c r="A19" s="13" t="str">
        <f>'스테이지별 골드'!C9</f>
        <v>2-1</v>
      </c>
      <c r="B19" s="23" t="s">
        <v>65</v>
      </c>
      <c r="C19" s="5">
        <f>'스테이지별 골드'!J9</f>
        <v>23</v>
      </c>
      <c r="D19" s="6">
        <f>IF(C19&gt;=E$3*설정!$B$10,E$3,IF(C19&gt;=F$3*설정!$B$10,F$3,IF(C19&gt;=G$3*설정!$B$10,G$3,IF(C19&gt;=H$3*설정!$B$10,H$3,IF(C19&gt;=I$3*설정!$B$10,I$3,J$3)))))</f>
        <v>1</v>
      </c>
      <c r="E19" s="6">
        <f t="shared" si="0"/>
        <v>0</v>
      </c>
      <c r="F19" s="6">
        <f>IF(F$3&lt;=$D19,INT(($C19-SUMPRODUCT($E19:E19,$E$3:E$3))/F$3),0)</f>
        <v>0</v>
      </c>
      <c r="G19" s="6">
        <f>IF(G$3&lt;=$D19,INT(($C19-SUMPRODUCT($E19:F19,$E$3:F$3))/G$3),0)</f>
        <v>0</v>
      </c>
      <c r="H19" s="6">
        <f>IF(H$3&lt;=$D19,INT(($C19-SUMPRODUCT($E19:G19,$E$3:G$3))/H$3),0)</f>
        <v>0</v>
      </c>
      <c r="I19" s="6">
        <f>IF(I$3&lt;=$D19,INT(($C19-SUMPRODUCT($E19:H19,$E$3:H$3))/I$3),0)</f>
        <v>0</v>
      </c>
      <c r="J19" s="6">
        <f>INT(($C19-SUMPRODUCT($E19:I19,$E$3:I$3))/J$3)</f>
        <v>23</v>
      </c>
      <c r="K19" s="4">
        <f t="shared" si="1"/>
        <v>23</v>
      </c>
      <c r="L19" s="6">
        <f t="shared" si="2"/>
        <v>23</v>
      </c>
    </row>
    <row r="20" spans="1:12" x14ac:dyDescent="0.3">
      <c r="A20" s="13" t="str">
        <f>'스테이지별 골드'!C9</f>
        <v>2-1</v>
      </c>
      <c r="B20" s="23" t="s">
        <v>66</v>
      </c>
      <c r="C20" s="5">
        <f>'스테이지별 골드'!K9</f>
        <v>36</v>
      </c>
      <c r="D20" s="6">
        <f>IF(C20&gt;=E$3*설정!$B$10,E$3,IF(C20&gt;=F$3*설정!$B$10,F$3,IF(C20&gt;=G$3*설정!$B$10,G$3,IF(C20&gt;=H$3*설정!$B$10,H$3,IF(C20&gt;=I$3*설정!$B$10,I$3,J$3)))))</f>
        <v>5</v>
      </c>
      <c r="E20" s="6">
        <f t="shared" si="0"/>
        <v>0</v>
      </c>
      <c r="F20" s="6">
        <f>IF(F$3&lt;=$D20,INT(($C20-SUMPRODUCT($E20:E20,$E$3:E$3))/F$3),0)</f>
        <v>0</v>
      </c>
      <c r="G20" s="6">
        <f>IF(G$3&lt;=$D20,INT(($C20-SUMPRODUCT($E20:F20,$E$3:F$3))/G$3),0)</f>
        <v>0</v>
      </c>
      <c r="H20" s="6">
        <f>IF(H$3&lt;=$D20,INT(($C20-SUMPRODUCT($E20:G20,$E$3:G$3))/H$3),0)</f>
        <v>0</v>
      </c>
      <c r="I20" s="6">
        <f>IF(I$3&lt;=$D20,INT(($C20-SUMPRODUCT($E20:H20,$E$3:H$3))/I$3),0)</f>
        <v>7</v>
      </c>
      <c r="J20" s="6">
        <f>INT(($C20-SUMPRODUCT($E20:I20,$E$3:I$3))/J$3)</f>
        <v>1</v>
      </c>
      <c r="K20" s="4">
        <f t="shared" si="1"/>
        <v>8</v>
      </c>
      <c r="L20" s="6">
        <f t="shared" si="2"/>
        <v>36</v>
      </c>
    </row>
    <row r="21" spans="1:12" x14ac:dyDescent="0.3">
      <c r="A21" s="13" t="str">
        <f>'스테이지별 골드'!C9</f>
        <v>2-1</v>
      </c>
      <c r="B21" s="23" t="s">
        <v>68</v>
      </c>
      <c r="C21" s="5">
        <f>'스테이지별 골드'!P9</f>
        <v>104</v>
      </c>
      <c r="D21" s="6">
        <f>IF(C21&gt;=E$3*설정!$B$10,E$3,IF(C21&gt;=F$3*설정!$B$10,F$3,IF(C21&gt;=G$3*설정!$B$10,G$3,IF(C21&gt;=H$3*설정!$B$10,H$3,IF(C21&gt;=I$3*설정!$B$10,I$3,J$3)))))</f>
        <v>5</v>
      </c>
      <c r="E21" s="6">
        <f t="shared" si="0"/>
        <v>0</v>
      </c>
      <c r="F21" s="6">
        <f>IF(F$3&lt;=$D21,INT(($C21-SUMPRODUCT($E21:E21,$E$3:E$3))/F$3),0)</f>
        <v>0</v>
      </c>
      <c r="G21" s="6">
        <f>IF(G$3&lt;=$D21,INT(($C21-SUMPRODUCT($E21:F21,$E$3:F$3))/G$3),0)</f>
        <v>0</v>
      </c>
      <c r="H21" s="6">
        <f>IF(H$3&lt;=$D21,INT(($C21-SUMPRODUCT($E21:G21,$E$3:G$3))/H$3),0)</f>
        <v>0</v>
      </c>
      <c r="I21" s="6">
        <f>IF(I$3&lt;=$D21,INT(($C21-SUMPRODUCT($E21:H21,$E$3:H$3))/I$3),0)</f>
        <v>20</v>
      </c>
      <c r="J21" s="6">
        <f>INT(($C21-SUMPRODUCT($E21:I21,$E$3:I$3))/J$3)</f>
        <v>4</v>
      </c>
      <c r="K21" s="4">
        <f t="shared" si="1"/>
        <v>24</v>
      </c>
      <c r="L21" s="6">
        <f t="shared" si="2"/>
        <v>104</v>
      </c>
    </row>
    <row r="22" spans="1:12" x14ac:dyDescent="0.3">
      <c r="A22" s="28" t="str">
        <f>'스테이지별 골드'!C10</f>
        <v>2-2</v>
      </c>
      <c r="B22" s="24" t="s">
        <v>65</v>
      </c>
      <c r="C22" s="29">
        <f>'스테이지별 골드'!J10</f>
        <v>29</v>
      </c>
      <c r="D22" s="30">
        <f>IF(C22&gt;=E$3*설정!$B$10,E$3,IF(C22&gt;=F$3*설정!$B$10,F$3,IF(C22&gt;=G$3*설정!$B$10,G$3,IF(C22&gt;=H$3*설정!$B$10,H$3,IF(C22&gt;=I$3*설정!$B$10,I$3,J$3)))))</f>
        <v>5</v>
      </c>
      <c r="E22" s="30">
        <f t="shared" si="0"/>
        <v>0</v>
      </c>
      <c r="F22" s="30">
        <f>IF(F$3&lt;=$D22,INT(($C22-SUMPRODUCT($E22:E22,$E$3:E$3))/F$3),0)</f>
        <v>0</v>
      </c>
      <c r="G22" s="30">
        <f>IF(G$3&lt;=$D22,INT(($C22-SUMPRODUCT($E22:F22,$E$3:F$3))/G$3),0)</f>
        <v>0</v>
      </c>
      <c r="H22" s="30">
        <f>IF(H$3&lt;=$D22,INT(($C22-SUMPRODUCT($E22:G22,$E$3:G$3))/H$3),0)</f>
        <v>0</v>
      </c>
      <c r="I22" s="30">
        <f>IF(I$3&lt;=$D22,INT(($C22-SUMPRODUCT($E22:H22,$E$3:H$3))/I$3),0)</f>
        <v>5</v>
      </c>
      <c r="J22" s="30">
        <f>INT(($C22-SUMPRODUCT($E22:I22,$E$3:I$3))/J$3)</f>
        <v>4</v>
      </c>
      <c r="K22" s="25">
        <f t="shared" si="1"/>
        <v>9</v>
      </c>
      <c r="L22" s="30">
        <f t="shared" si="2"/>
        <v>29</v>
      </c>
    </row>
    <row r="23" spans="1:12" x14ac:dyDescent="0.3">
      <c r="A23" s="28" t="str">
        <f>'스테이지별 골드'!C10</f>
        <v>2-2</v>
      </c>
      <c r="B23" s="24" t="s">
        <v>66</v>
      </c>
      <c r="C23" s="29">
        <f>'스테이지별 골드'!K10</f>
        <v>46</v>
      </c>
      <c r="D23" s="30">
        <f>IF(C23&gt;=E$3*설정!$B$10,E$3,IF(C23&gt;=F$3*설정!$B$10,F$3,IF(C23&gt;=G$3*설정!$B$10,G$3,IF(C23&gt;=H$3*설정!$B$10,H$3,IF(C23&gt;=I$3*설정!$B$10,I$3,J$3)))))</f>
        <v>5</v>
      </c>
      <c r="E23" s="30">
        <f t="shared" si="0"/>
        <v>0</v>
      </c>
      <c r="F23" s="30">
        <f>IF(F$3&lt;=$D23,INT(($C23-SUMPRODUCT($E23:E23,$E$3:E$3))/F$3),0)</f>
        <v>0</v>
      </c>
      <c r="G23" s="30">
        <f>IF(G$3&lt;=$D23,INT(($C23-SUMPRODUCT($E23:F23,$E$3:F$3))/G$3),0)</f>
        <v>0</v>
      </c>
      <c r="H23" s="30">
        <f>IF(H$3&lt;=$D23,INT(($C23-SUMPRODUCT($E23:G23,$E$3:G$3))/H$3),0)</f>
        <v>0</v>
      </c>
      <c r="I23" s="30">
        <f>IF(I$3&lt;=$D23,INT(($C23-SUMPRODUCT($E23:H23,$E$3:H$3))/I$3),0)</f>
        <v>9</v>
      </c>
      <c r="J23" s="30">
        <f>INT(($C23-SUMPRODUCT($E23:I23,$E$3:I$3))/J$3)</f>
        <v>1</v>
      </c>
      <c r="K23" s="25">
        <f t="shared" si="1"/>
        <v>10</v>
      </c>
      <c r="L23" s="30">
        <f t="shared" si="2"/>
        <v>46</v>
      </c>
    </row>
    <row r="24" spans="1:12" x14ac:dyDescent="0.3">
      <c r="A24" s="28" t="str">
        <f>'스테이지별 골드'!C10</f>
        <v>2-2</v>
      </c>
      <c r="B24" s="24" t="s">
        <v>67</v>
      </c>
      <c r="C24" s="29">
        <f>'스테이지별 골드'!L10</f>
        <v>218</v>
      </c>
      <c r="D24" s="30">
        <f>IF(C24&gt;=E$3*설정!$B$10,E$3,IF(C24&gt;=F$3*설정!$B$10,F$3,IF(C24&gt;=G$3*설정!$B$10,G$3,IF(C24&gt;=H$3*설정!$B$10,H$3,IF(C24&gt;=I$3*설정!$B$10,I$3,J$3)))))</f>
        <v>25</v>
      </c>
      <c r="E24" s="30">
        <f t="shared" si="0"/>
        <v>0</v>
      </c>
      <c r="F24" s="30">
        <f>IF(F$3&lt;=$D24,INT(($C24-SUMPRODUCT($E24:E24,$E$3:E$3))/F$3),0)</f>
        <v>0</v>
      </c>
      <c r="G24" s="30">
        <f>IF(G$3&lt;=$D24,INT(($C24-SUMPRODUCT($E24:F24,$E$3:F$3))/G$3),0)</f>
        <v>0</v>
      </c>
      <c r="H24" s="30">
        <f>IF(H$3&lt;=$D24,INT(($C24-SUMPRODUCT($E24:G24,$E$3:G$3))/H$3),0)</f>
        <v>8</v>
      </c>
      <c r="I24" s="30">
        <f>IF(I$3&lt;=$D24,INT(($C24-SUMPRODUCT($E24:H24,$E$3:H$3))/I$3),0)</f>
        <v>3</v>
      </c>
      <c r="J24" s="30">
        <f>INT(($C24-SUMPRODUCT($E24:I24,$E$3:I$3))/J$3)</f>
        <v>3</v>
      </c>
      <c r="K24" s="25">
        <f t="shared" si="1"/>
        <v>14</v>
      </c>
      <c r="L24" s="30">
        <f t="shared" si="2"/>
        <v>218</v>
      </c>
    </row>
    <row r="25" spans="1:12" x14ac:dyDescent="0.3">
      <c r="A25" s="28" t="str">
        <f>'스테이지별 골드'!C10</f>
        <v>2-2</v>
      </c>
      <c r="B25" s="24" t="s">
        <v>68</v>
      </c>
      <c r="C25" s="29">
        <f>'스테이지별 골드'!P10</f>
        <v>131</v>
      </c>
      <c r="D25" s="30">
        <f>IF(C25&gt;=E$3*설정!$B$10,E$3,IF(C25&gt;=F$3*설정!$B$10,F$3,IF(C25&gt;=G$3*설정!$B$10,G$3,IF(C25&gt;=H$3*설정!$B$10,H$3,IF(C25&gt;=I$3*설정!$B$10,I$3,J$3)))))</f>
        <v>25</v>
      </c>
      <c r="E25" s="30">
        <f t="shared" si="0"/>
        <v>0</v>
      </c>
      <c r="F25" s="30">
        <f>IF(F$3&lt;=$D25,INT(($C25-SUMPRODUCT($E25:E25,$E$3:E$3))/F$3),0)</f>
        <v>0</v>
      </c>
      <c r="G25" s="30">
        <f>IF(G$3&lt;=$D25,INT(($C25-SUMPRODUCT($E25:F25,$E$3:F$3))/G$3),0)</f>
        <v>0</v>
      </c>
      <c r="H25" s="30">
        <f>IF(H$3&lt;=$D25,INT(($C25-SUMPRODUCT($E25:G25,$E$3:G$3))/H$3),0)</f>
        <v>5</v>
      </c>
      <c r="I25" s="30">
        <f>IF(I$3&lt;=$D25,INT(($C25-SUMPRODUCT($E25:H25,$E$3:H$3))/I$3),0)</f>
        <v>1</v>
      </c>
      <c r="J25" s="30">
        <f>INT(($C25-SUMPRODUCT($E25:I25,$E$3:I$3))/J$3)</f>
        <v>1</v>
      </c>
      <c r="K25" s="25">
        <f t="shared" si="1"/>
        <v>7</v>
      </c>
      <c r="L25" s="30">
        <f t="shared" si="2"/>
        <v>131</v>
      </c>
    </row>
    <row r="26" spans="1:12" x14ac:dyDescent="0.3">
      <c r="A26" s="13" t="str">
        <f>'스테이지별 골드'!C11</f>
        <v>2-3</v>
      </c>
      <c r="B26" s="23" t="s">
        <v>65</v>
      </c>
      <c r="C26" s="5">
        <f>'스테이지별 골드'!J11</f>
        <v>35</v>
      </c>
      <c r="D26" s="6">
        <f>IF(C26&gt;=E$3*설정!$B$10,E$3,IF(C26&gt;=F$3*설정!$B$10,F$3,IF(C26&gt;=G$3*설정!$B$10,G$3,IF(C26&gt;=H$3*설정!$B$10,H$3,IF(C26&gt;=I$3*설정!$B$10,I$3,J$3)))))</f>
        <v>5</v>
      </c>
      <c r="E26" s="6">
        <f t="shared" si="0"/>
        <v>0</v>
      </c>
      <c r="F26" s="6">
        <f>IF(F$3&lt;=$D26,INT(($C26-SUMPRODUCT($E26:E26,$E$3:E$3))/F$3),0)</f>
        <v>0</v>
      </c>
      <c r="G26" s="6">
        <f>IF(G$3&lt;=$D26,INT(($C26-SUMPRODUCT($E26:F26,$E$3:F$3))/G$3),0)</f>
        <v>0</v>
      </c>
      <c r="H26" s="6">
        <f>IF(H$3&lt;=$D26,INT(($C26-SUMPRODUCT($E26:G26,$E$3:G$3))/H$3),0)</f>
        <v>0</v>
      </c>
      <c r="I26" s="6">
        <f>IF(I$3&lt;=$D26,INT(($C26-SUMPRODUCT($E26:H26,$E$3:H$3))/I$3),0)</f>
        <v>7</v>
      </c>
      <c r="J26" s="6">
        <f>INT(($C26-SUMPRODUCT($E26:I26,$E$3:I$3))/J$3)</f>
        <v>0</v>
      </c>
      <c r="K26" s="4">
        <f t="shared" si="1"/>
        <v>7</v>
      </c>
      <c r="L26" s="6">
        <f t="shared" si="2"/>
        <v>35</v>
      </c>
    </row>
    <row r="27" spans="1:12" x14ac:dyDescent="0.3">
      <c r="A27" s="13" t="str">
        <f>'스테이지별 골드'!C11</f>
        <v>2-3</v>
      </c>
      <c r="B27" s="23" t="s">
        <v>66</v>
      </c>
      <c r="C27" s="5">
        <f>'스테이지별 골드'!K11</f>
        <v>55</v>
      </c>
      <c r="D27" s="6">
        <f>IF(C27&gt;=E$3*설정!$B$10,E$3,IF(C27&gt;=F$3*설정!$B$10,F$3,IF(C27&gt;=G$3*설정!$B$10,G$3,IF(C27&gt;=H$3*설정!$B$10,H$3,IF(C27&gt;=I$3*설정!$B$10,I$3,J$3)))))</f>
        <v>5</v>
      </c>
      <c r="E27" s="6">
        <f t="shared" si="0"/>
        <v>0</v>
      </c>
      <c r="F27" s="6">
        <f>IF(F$3&lt;=$D27,INT(($C27-SUMPRODUCT($E27:E27,$E$3:E$3))/F$3),0)</f>
        <v>0</v>
      </c>
      <c r="G27" s="6">
        <f>IF(G$3&lt;=$D27,INT(($C27-SUMPRODUCT($E27:F27,$E$3:F$3))/G$3),0)</f>
        <v>0</v>
      </c>
      <c r="H27" s="6">
        <f>IF(H$3&lt;=$D27,INT(($C27-SUMPRODUCT($E27:G27,$E$3:G$3))/H$3),0)</f>
        <v>0</v>
      </c>
      <c r="I27" s="6">
        <f>IF(I$3&lt;=$D27,INT(($C27-SUMPRODUCT($E27:H27,$E$3:H$3))/I$3),0)</f>
        <v>11</v>
      </c>
      <c r="J27" s="6">
        <f>INT(($C27-SUMPRODUCT($E27:I27,$E$3:I$3))/J$3)</f>
        <v>0</v>
      </c>
      <c r="K27" s="4">
        <f t="shared" si="1"/>
        <v>11</v>
      </c>
      <c r="L27" s="6">
        <f t="shared" si="2"/>
        <v>55</v>
      </c>
    </row>
    <row r="28" spans="1:12" x14ac:dyDescent="0.3">
      <c r="A28" s="13" t="str">
        <f>'스테이지별 골드'!C11</f>
        <v>2-3</v>
      </c>
      <c r="B28" s="23" t="s">
        <v>68</v>
      </c>
      <c r="C28" s="5">
        <f>'스테이지별 골드'!P11</f>
        <v>158</v>
      </c>
      <c r="D28" s="6">
        <f>IF(C28&gt;=E$3*설정!$B$10,E$3,IF(C28&gt;=F$3*설정!$B$10,F$3,IF(C28&gt;=G$3*설정!$B$10,G$3,IF(C28&gt;=H$3*설정!$B$10,H$3,IF(C28&gt;=I$3*설정!$B$10,I$3,J$3)))))</f>
        <v>25</v>
      </c>
      <c r="E28" s="6">
        <f t="shared" si="0"/>
        <v>0</v>
      </c>
      <c r="F28" s="6">
        <f>IF(F$3&lt;=$D28,INT(($C28-SUMPRODUCT($E28:E28,$E$3:E$3))/F$3),0)</f>
        <v>0</v>
      </c>
      <c r="G28" s="6">
        <f>IF(G$3&lt;=$D28,INT(($C28-SUMPRODUCT($E28:F28,$E$3:F$3))/G$3),0)</f>
        <v>0</v>
      </c>
      <c r="H28" s="6">
        <f>IF(H$3&lt;=$D28,INT(($C28-SUMPRODUCT($E28:G28,$E$3:G$3))/H$3),0)</f>
        <v>6</v>
      </c>
      <c r="I28" s="6">
        <f>IF(I$3&lt;=$D28,INT(($C28-SUMPRODUCT($E28:H28,$E$3:H$3))/I$3),0)</f>
        <v>1</v>
      </c>
      <c r="J28" s="6">
        <f>INT(($C28-SUMPRODUCT($E28:I28,$E$3:I$3))/J$3)</f>
        <v>3</v>
      </c>
      <c r="K28" s="4">
        <f t="shared" si="1"/>
        <v>10</v>
      </c>
      <c r="L28" s="6">
        <f t="shared" si="2"/>
        <v>158</v>
      </c>
    </row>
    <row r="29" spans="1:12" x14ac:dyDescent="0.3">
      <c r="A29" s="28" t="str">
        <f>'스테이지별 골드'!C12</f>
        <v>2-4</v>
      </c>
      <c r="B29" s="24" t="s">
        <v>65</v>
      </c>
      <c r="C29" s="29">
        <f>'스테이지별 골드'!J12</f>
        <v>44</v>
      </c>
      <c r="D29" s="30">
        <f>IF(C29&gt;=E$3*설정!$B$10,E$3,IF(C29&gt;=F$3*설정!$B$10,F$3,IF(C29&gt;=G$3*설정!$B$10,G$3,IF(C29&gt;=H$3*설정!$B$10,H$3,IF(C29&gt;=I$3*설정!$B$10,I$3,J$3)))))</f>
        <v>5</v>
      </c>
      <c r="E29" s="30">
        <f t="shared" si="0"/>
        <v>0</v>
      </c>
      <c r="F29" s="30">
        <f>IF(F$3&lt;=$D29,INT(($C29-SUMPRODUCT($E29:E29,$E$3:E$3))/F$3),0)</f>
        <v>0</v>
      </c>
      <c r="G29" s="30">
        <f>IF(G$3&lt;=$D29,INT(($C29-SUMPRODUCT($E29:F29,$E$3:F$3))/G$3),0)</f>
        <v>0</v>
      </c>
      <c r="H29" s="30">
        <f>IF(H$3&lt;=$D29,INT(($C29-SUMPRODUCT($E29:G29,$E$3:G$3))/H$3),0)</f>
        <v>0</v>
      </c>
      <c r="I29" s="30">
        <f>IF(I$3&lt;=$D29,INT(($C29-SUMPRODUCT($E29:H29,$E$3:H$3))/I$3),0)</f>
        <v>8</v>
      </c>
      <c r="J29" s="30">
        <f>INT(($C29-SUMPRODUCT($E29:I29,$E$3:I$3))/J$3)</f>
        <v>4</v>
      </c>
      <c r="K29" s="25">
        <f t="shared" si="1"/>
        <v>12</v>
      </c>
      <c r="L29" s="30">
        <f t="shared" si="2"/>
        <v>44</v>
      </c>
    </row>
    <row r="30" spans="1:12" x14ac:dyDescent="0.3">
      <c r="A30" s="28" t="str">
        <f>'스테이지별 골드'!C12</f>
        <v>2-4</v>
      </c>
      <c r="B30" s="24" t="s">
        <v>66</v>
      </c>
      <c r="C30" s="29">
        <f>'스테이지별 골드'!K12</f>
        <v>69</v>
      </c>
      <c r="D30" s="30">
        <f>IF(C30&gt;=E$3*설정!$B$10,E$3,IF(C30&gt;=F$3*설정!$B$10,F$3,IF(C30&gt;=G$3*설정!$B$10,G$3,IF(C30&gt;=H$3*설정!$B$10,H$3,IF(C30&gt;=I$3*설정!$B$10,I$3,J$3)))))</f>
        <v>5</v>
      </c>
      <c r="E30" s="30">
        <f t="shared" si="0"/>
        <v>0</v>
      </c>
      <c r="F30" s="30">
        <f>IF(F$3&lt;=$D30,INT(($C30-SUMPRODUCT($E30:E30,$E$3:E$3))/F$3),0)</f>
        <v>0</v>
      </c>
      <c r="G30" s="30">
        <f>IF(G$3&lt;=$D30,INT(($C30-SUMPRODUCT($E30:F30,$E$3:F$3))/G$3),0)</f>
        <v>0</v>
      </c>
      <c r="H30" s="30">
        <f>IF(H$3&lt;=$D30,INT(($C30-SUMPRODUCT($E30:G30,$E$3:G$3))/H$3),0)</f>
        <v>0</v>
      </c>
      <c r="I30" s="30">
        <f>IF(I$3&lt;=$D30,INT(($C30-SUMPRODUCT($E30:H30,$E$3:H$3))/I$3),0)</f>
        <v>13</v>
      </c>
      <c r="J30" s="30">
        <f>INT(($C30-SUMPRODUCT($E30:I30,$E$3:I$3))/J$3)</f>
        <v>4</v>
      </c>
      <c r="K30" s="25">
        <f t="shared" si="1"/>
        <v>17</v>
      </c>
      <c r="L30" s="30">
        <f t="shared" si="2"/>
        <v>69</v>
      </c>
    </row>
    <row r="31" spans="1:12" x14ac:dyDescent="0.3">
      <c r="A31" s="28" t="str">
        <f>'스테이지별 골드'!C12</f>
        <v>2-4</v>
      </c>
      <c r="B31" s="24" t="s">
        <v>67</v>
      </c>
      <c r="C31" s="29">
        <f>'스테이지별 골드'!L12</f>
        <v>330</v>
      </c>
      <c r="D31" s="30">
        <f>IF(C31&gt;=E$3*설정!$B$10,E$3,IF(C31&gt;=F$3*설정!$B$10,F$3,IF(C31&gt;=G$3*설정!$B$10,G$3,IF(C31&gt;=H$3*설정!$B$10,H$3,IF(C31&gt;=I$3*설정!$B$10,I$3,J$3)))))</f>
        <v>25</v>
      </c>
      <c r="E31" s="30">
        <f t="shared" si="0"/>
        <v>0</v>
      </c>
      <c r="F31" s="30">
        <f>IF(F$3&lt;=$D31,INT(($C31-SUMPRODUCT($E31:E31,$E$3:E$3))/F$3),0)</f>
        <v>0</v>
      </c>
      <c r="G31" s="30">
        <f>IF(G$3&lt;=$D31,INT(($C31-SUMPRODUCT($E31:F31,$E$3:F$3))/G$3),0)</f>
        <v>0</v>
      </c>
      <c r="H31" s="30">
        <f>IF(H$3&lt;=$D31,INT(($C31-SUMPRODUCT($E31:G31,$E$3:G$3))/H$3),0)</f>
        <v>13</v>
      </c>
      <c r="I31" s="30">
        <f>IF(I$3&lt;=$D31,INT(($C31-SUMPRODUCT($E31:H31,$E$3:H$3))/I$3),0)</f>
        <v>1</v>
      </c>
      <c r="J31" s="30">
        <f>INT(($C31-SUMPRODUCT($E31:I31,$E$3:I$3))/J$3)</f>
        <v>0</v>
      </c>
      <c r="K31" s="25">
        <f t="shared" si="1"/>
        <v>14</v>
      </c>
      <c r="L31" s="30">
        <f t="shared" si="2"/>
        <v>330</v>
      </c>
    </row>
    <row r="32" spans="1:12" x14ac:dyDescent="0.3">
      <c r="A32" s="28" t="str">
        <f>'스테이지별 골드'!C12</f>
        <v>2-4</v>
      </c>
      <c r="B32" s="24" t="s">
        <v>68</v>
      </c>
      <c r="C32" s="29">
        <f>'스테이지별 골드'!P12</f>
        <v>198</v>
      </c>
      <c r="D32" s="30">
        <f>IF(C32&gt;=E$3*설정!$B$10,E$3,IF(C32&gt;=F$3*설정!$B$10,F$3,IF(C32&gt;=G$3*설정!$B$10,G$3,IF(C32&gt;=H$3*설정!$B$10,H$3,IF(C32&gt;=I$3*설정!$B$10,I$3,J$3)))))</f>
        <v>25</v>
      </c>
      <c r="E32" s="30">
        <f t="shared" si="0"/>
        <v>0</v>
      </c>
      <c r="F32" s="30">
        <f>IF(F$3&lt;=$D32,INT(($C32-SUMPRODUCT($E32:E32,$E$3:E$3))/F$3),0)</f>
        <v>0</v>
      </c>
      <c r="G32" s="30">
        <f>IF(G$3&lt;=$D32,INT(($C32-SUMPRODUCT($E32:F32,$E$3:F$3))/G$3),0)</f>
        <v>0</v>
      </c>
      <c r="H32" s="30">
        <f>IF(H$3&lt;=$D32,INT(($C32-SUMPRODUCT($E32:G32,$E$3:G$3))/H$3),0)</f>
        <v>7</v>
      </c>
      <c r="I32" s="30">
        <f>IF(I$3&lt;=$D32,INT(($C32-SUMPRODUCT($E32:H32,$E$3:H$3))/I$3),0)</f>
        <v>4</v>
      </c>
      <c r="J32" s="30">
        <f>INT(($C32-SUMPRODUCT($E32:I32,$E$3:I$3))/J$3)</f>
        <v>3</v>
      </c>
      <c r="K32" s="25">
        <f t="shared" si="1"/>
        <v>14</v>
      </c>
      <c r="L32" s="30">
        <f t="shared" si="2"/>
        <v>198</v>
      </c>
    </row>
    <row r="33" spans="1:12" x14ac:dyDescent="0.3">
      <c r="A33" s="13" t="str">
        <f>'스테이지별 골드'!C13</f>
        <v>3-1</v>
      </c>
      <c r="B33" s="23" t="s">
        <v>65</v>
      </c>
      <c r="C33" s="5">
        <f>'스테이지별 골드'!J13</f>
        <v>53</v>
      </c>
      <c r="D33" s="6">
        <f>IF(C33&gt;=E$3*설정!$B$10,E$3,IF(C33&gt;=F$3*설정!$B$10,F$3,IF(C33&gt;=G$3*설정!$B$10,G$3,IF(C33&gt;=H$3*설정!$B$10,H$3,IF(C33&gt;=I$3*설정!$B$10,I$3,J$3)))))</f>
        <v>5</v>
      </c>
      <c r="E33" s="6">
        <f t="shared" si="0"/>
        <v>0</v>
      </c>
      <c r="F33" s="6">
        <f>IF(F$3&lt;=$D33,INT(($C33-SUMPRODUCT($E33:E33,$E$3:E$3))/F$3),0)</f>
        <v>0</v>
      </c>
      <c r="G33" s="6">
        <f>IF(G$3&lt;=$D33,INT(($C33-SUMPRODUCT($E33:F33,$E$3:F$3))/G$3),0)</f>
        <v>0</v>
      </c>
      <c r="H33" s="6">
        <f>IF(H$3&lt;=$D33,INT(($C33-SUMPRODUCT($E33:G33,$E$3:G$3))/H$3),0)</f>
        <v>0</v>
      </c>
      <c r="I33" s="6">
        <f>IF(I$3&lt;=$D33,INT(($C33-SUMPRODUCT($E33:H33,$E$3:H$3))/I$3),0)</f>
        <v>10</v>
      </c>
      <c r="J33" s="6">
        <f>INT(($C33-SUMPRODUCT($E33:I33,$E$3:I$3))/J$3)</f>
        <v>3</v>
      </c>
      <c r="K33" s="4">
        <f t="shared" si="1"/>
        <v>13</v>
      </c>
      <c r="L33" s="6">
        <f t="shared" si="2"/>
        <v>53</v>
      </c>
    </row>
    <row r="34" spans="1:12" x14ac:dyDescent="0.3">
      <c r="A34" s="13" t="str">
        <f>'스테이지별 골드'!C13</f>
        <v>3-1</v>
      </c>
      <c r="B34" s="23" t="s">
        <v>66</v>
      </c>
      <c r="C34" s="5">
        <f>'스테이지별 골드'!K13</f>
        <v>84</v>
      </c>
      <c r="D34" s="6">
        <f>IF(C34&gt;=E$3*설정!$B$10,E$3,IF(C34&gt;=F$3*설정!$B$10,F$3,IF(C34&gt;=G$3*설정!$B$10,G$3,IF(C34&gt;=H$3*설정!$B$10,H$3,IF(C34&gt;=I$3*설정!$B$10,I$3,J$3)))))</f>
        <v>5</v>
      </c>
      <c r="E34" s="6">
        <f t="shared" si="0"/>
        <v>0</v>
      </c>
      <c r="F34" s="6">
        <f>IF(F$3&lt;=$D34,INT(($C34-SUMPRODUCT($E34:E34,$E$3:E$3))/F$3),0)</f>
        <v>0</v>
      </c>
      <c r="G34" s="6">
        <f>IF(G$3&lt;=$D34,INT(($C34-SUMPRODUCT($E34:F34,$E$3:F$3))/G$3),0)</f>
        <v>0</v>
      </c>
      <c r="H34" s="6">
        <f>IF(H$3&lt;=$D34,INT(($C34-SUMPRODUCT($E34:G34,$E$3:G$3))/H$3),0)</f>
        <v>0</v>
      </c>
      <c r="I34" s="6">
        <f>IF(I$3&lt;=$D34,INT(($C34-SUMPRODUCT($E34:H34,$E$3:H$3))/I$3),0)</f>
        <v>16</v>
      </c>
      <c r="J34" s="6">
        <f>INT(($C34-SUMPRODUCT($E34:I34,$E$3:I$3))/J$3)</f>
        <v>4</v>
      </c>
      <c r="K34" s="4">
        <f t="shared" si="1"/>
        <v>20</v>
      </c>
      <c r="L34" s="6">
        <f t="shared" si="2"/>
        <v>84</v>
      </c>
    </row>
    <row r="35" spans="1:12" x14ac:dyDescent="0.3">
      <c r="A35" s="13" t="str">
        <f>'스테이지별 골드'!C13</f>
        <v>3-1</v>
      </c>
      <c r="B35" s="23" t="s">
        <v>68</v>
      </c>
      <c r="C35" s="5">
        <f>'스테이지별 골드'!P13</f>
        <v>239</v>
      </c>
      <c r="D35" s="6">
        <f>IF(C35&gt;=E$3*설정!$B$10,E$3,IF(C35&gt;=F$3*설정!$B$10,F$3,IF(C35&gt;=G$3*설정!$B$10,G$3,IF(C35&gt;=H$3*설정!$B$10,H$3,IF(C35&gt;=I$3*설정!$B$10,I$3,J$3)))))</f>
        <v>25</v>
      </c>
      <c r="E35" s="6">
        <f t="shared" si="0"/>
        <v>0</v>
      </c>
      <c r="F35" s="6">
        <f>IF(F$3&lt;=$D35,INT(($C35-SUMPRODUCT($E35:E35,$E$3:E$3))/F$3),0)</f>
        <v>0</v>
      </c>
      <c r="G35" s="6">
        <f>IF(G$3&lt;=$D35,INT(($C35-SUMPRODUCT($E35:F35,$E$3:F$3))/G$3),0)</f>
        <v>0</v>
      </c>
      <c r="H35" s="6">
        <f>IF(H$3&lt;=$D35,INT(($C35-SUMPRODUCT($E35:G35,$E$3:G$3))/H$3),0)</f>
        <v>9</v>
      </c>
      <c r="I35" s="6">
        <f>IF(I$3&lt;=$D35,INT(($C35-SUMPRODUCT($E35:H35,$E$3:H$3))/I$3),0)</f>
        <v>2</v>
      </c>
      <c r="J35" s="6">
        <f>INT(($C35-SUMPRODUCT($E35:I35,$E$3:I$3))/J$3)</f>
        <v>4</v>
      </c>
      <c r="K35" s="4">
        <f t="shared" si="1"/>
        <v>15</v>
      </c>
      <c r="L35" s="6">
        <f t="shared" si="2"/>
        <v>239</v>
      </c>
    </row>
    <row r="36" spans="1:12" x14ac:dyDescent="0.3">
      <c r="A36" s="28" t="str">
        <f>'스테이지별 골드'!C14</f>
        <v>3-2</v>
      </c>
      <c r="B36" s="24" t="s">
        <v>65</v>
      </c>
      <c r="C36" s="29">
        <f>'스테이지별 골드'!J14</f>
        <v>66</v>
      </c>
      <c r="D36" s="30">
        <f>IF(C36&gt;=E$3*설정!$B$10,E$3,IF(C36&gt;=F$3*설정!$B$10,F$3,IF(C36&gt;=G$3*설정!$B$10,G$3,IF(C36&gt;=H$3*설정!$B$10,H$3,IF(C36&gt;=I$3*설정!$B$10,I$3,J$3)))))</f>
        <v>5</v>
      </c>
      <c r="E36" s="30">
        <f t="shared" si="0"/>
        <v>0</v>
      </c>
      <c r="F36" s="30">
        <f>IF(F$3&lt;=$D36,INT(($C36-SUMPRODUCT($E36:E36,$E$3:E$3))/F$3),0)</f>
        <v>0</v>
      </c>
      <c r="G36" s="30">
        <f>IF(G$3&lt;=$D36,INT(($C36-SUMPRODUCT($E36:F36,$E$3:F$3))/G$3),0)</f>
        <v>0</v>
      </c>
      <c r="H36" s="30">
        <f>IF(H$3&lt;=$D36,INT(($C36-SUMPRODUCT($E36:G36,$E$3:G$3))/H$3),0)</f>
        <v>0</v>
      </c>
      <c r="I36" s="30">
        <f>IF(I$3&lt;=$D36,INT(($C36-SUMPRODUCT($E36:H36,$E$3:H$3))/I$3),0)</f>
        <v>13</v>
      </c>
      <c r="J36" s="30">
        <f>INT(($C36-SUMPRODUCT($E36:I36,$E$3:I$3))/J$3)</f>
        <v>1</v>
      </c>
      <c r="K36" s="25">
        <f t="shared" si="1"/>
        <v>14</v>
      </c>
      <c r="L36" s="30">
        <f t="shared" si="2"/>
        <v>66</v>
      </c>
    </row>
    <row r="37" spans="1:12" x14ac:dyDescent="0.3">
      <c r="A37" s="28" t="str">
        <f>'스테이지별 골드'!C14</f>
        <v>3-2</v>
      </c>
      <c r="B37" s="24" t="s">
        <v>66</v>
      </c>
      <c r="C37" s="29">
        <f>'스테이지별 골드'!K14</f>
        <v>103</v>
      </c>
      <c r="D37" s="30">
        <f>IF(C37&gt;=E$3*설정!$B$10,E$3,IF(C37&gt;=F$3*설정!$B$10,F$3,IF(C37&gt;=G$3*설정!$B$10,G$3,IF(C37&gt;=H$3*설정!$B$10,H$3,IF(C37&gt;=I$3*설정!$B$10,I$3,J$3)))))</f>
        <v>5</v>
      </c>
      <c r="E37" s="30">
        <f t="shared" ref="E37:E68" si="3">IF(E$3&lt;=$D37,INT($C37/E$3),0)</f>
        <v>0</v>
      </c>
      <c r="F37" s="30">
        <f>IF(F$3&lt;=$D37,INT(($C37-SUMPRODUCT($E37:E37,$E$3:E$3))/F$3),0)</f>
        <v>0</v>
      </c>
      <c r="G37" s="30">
        <f>IF(G$3&lt;=$D37,INT(($C37-SUMPRODUCT($E37:F37,$E$3:F$3))/G$3),0)</f>
        <v>0</v>
      </c>
      <c r="H37" s="30">
        <f>IF(H$3&lt;=$D37,INT(($C37-SUMPRODUCT($E37:G37,$E$3:G$3))/H$3),0)</f>
        <v>0</v>
      </c>
      <c r="I37" s="30">
        <f>IF(I$3&lt;=$D37,INT(($C37-SUMPRODUCT($E37:H37,$E$3:H$3))/I$3),0)</f>
        <v>20</v>
      </c>
      <c r="J37" s="30">
        <f>INT(($C37-SUMPRODUCT($E37:I37,$E$3:I$3))/J$3)</f>
        <v>3</v>
      </c>
      <c r="K37" s="25">
        <f t="shared" ref="K37:K68" si="4">SUM(E37:J37)</f>
        <v>23</v>
      </c>
      <c r="L37" s="30">
        <f t="shared" ref="L37:L68" si="5">SUMPRODUCT(E37:J37,$E$3:$J$3)</f>
        <v>103</v>
      </c>
    </row>
    <row r="38" spans="1:12" x14ac:dyDescent="0.3">
      <c r="A38" s="28" t="str">
        <f>'스테이지별 골드'!C14</f>
        <v>3-2</v>
      </c>
      <c r="B38" s="24" t="s">
        <v>67</v>
      </c>
      <c r="C38" s="29">
        <f>'스테이지별 골드'!L14</f>
        <v>495</v>
      </c>
      <c r="D38" s="30">
        <f>IF(C38&gt;=E$3*설정!$B$10,E$3,IF(C38&gt;=F$3*설정!$B$10,F$3,IF(C38&gt;=G$3*설정!$B$10,G$3,IF(C38&gt;=H$3*설정!$B$10,H$3,IF(C38&gt;=I$3*설정!$B$10,I$3,J$3)))))</f>
        <v>25</v>
      </c>
      <c r="E38" s="30">
        <f t="shared" si="3"/>
        <v>0</v>
      </c>
      <c r="F38" s="30">
        <f>IF(F$3&lt;=$D38,INT(($C38-SUMPRODUCT($E38:E38,$E$3:E$3))/F$3),0)</f>
        <v>0</v>
      </c>
      <c r="G38" s="30">
        <f>IF(G$3&lt;=$D38,INT(($C38-SUMPRODUCT($E38:F38,$E$3:F$3))/G$3),0)</f>
        <v>0</v>
      </c>
      <c r="H38" s="30">
        <f>IF(H$3&lt;=$D38,INT(($C38-SUMPRODUCT($E38:G38,$E$3:G$3))/H$3),0)</f>
        <v>19</v>
      </c>
      <c r="I38" s="30">
        <f>IF(I$3&lt;=$D38,INT(($C38-SUMPRODUCT($E38:H38,$E$3:H$3))/I$3),0)</f>
        <v>4</v>
      </c>
      <c r="J38" s="30">
        <f>INT(($C38-SUMPRODUCT($E38:I38,$E$3:I$3))/J$3)</f>
        <v>0</v>
      </c>
      <c r="K38" s="25">
        <f t="shared" si="4"/>
        <v>23</v>
      </c>
      <c r="L38" s="30">
        <f t="shared" si="5"/>
        <v>495</v>
      </c>
    </row>
    <row r="39" spans="1:12" x14ac:dyDescent="0.3">
      <c r="A39" s="28" t="str">
        <f>'스테이지별 골드'!C14</f>
        <v>3-2</v>
      </c>
      <c r="B39" s="24" t="s">
        <v>68</v>
      </c>
      <c r="C39" s="29">
        <f>'스테이지별 골드'!P14</f>
        <v>297</v>
      </c>
      <c r="D39" s="30">
        <f>IF(C39&gt;=E$3*설정!$B$10,E$3,IF(C39&gt;=F$3*설정!$B$10,F$3,IF(C39&gt;=G$3*설정!$B$10,G$3,IF(C39&gt;=H$3*설정!$B$10,H$3,IF(C39&gt;=I$3*설정!$B$10,I$3,J$3)))))</f>
        <v>25</v>
      </c>
      <c r="E39" s="30">
        <f t="shared" si="3"/>
        <v>0</v>
      </c>
      <c r="F39" s="30">
        <f>IF(F$3&lt;=$D39,INT(($C39-SUMPRODUCT($E39:E39,$E$3:E$3))/F$3),0)</f>
        <v>0</v>
      </c>
      <c r="G39" s="30">
        <f>IF(G$3&lt;=$D39,INT(($C39-SUMPRODUCT($E39:F39,$E$3:F$3))/G$3),0)</f>
        <v>0</v>
      </c>
      <c r="H39" s="30">
        <f>IF(H$3&lt;=$D39,INT(($C39-SUMPRODUCT($E39:G39,$E$3:G$3))/H$3),0)</f>
        <v>11</v>
      </c>
      <c r="I39" s="30">
        <f>IF(I$3&lt;=$D39,INT(($C39-SUMPRODUCT($E39:H39,$E$3:H$3))/I$3),0)</f>
        <v>4</v>
      </c>
      <c r="J39" s="30">
        <f>INT(($C39-SUMPRODUCT($E39:I39,$E$3:I$3))/J$3)</f>
        <v>2</v>
      </c>
      <c r="K39" s="25">
        <f t="shared" si="4"/>
        <v>17</v>
      </c>
      <c r="L39" s="30">
        <f t="shared" si="5"/>
        <v>297</v>
      </c>
    </row>
    <row r="40" spans="1:12" x14ac:dyDescent="0.3">
      <c r="A40" s="13" t="str">
        <f>'스테이지별 골드'!C15</f>
        <v>3-3</v>
      </c>
      <c r="B40" s="23" t="s">
        <v>65</v>
      </c>
      <c r="C40" s="5">
        <f>'스테이지별 골드'!J15</f>
        <v>80</v>
      </c>
      <c r="D40" s="6">
        <f>IF(C40&gt;=E$3*설정!$B$10,E$3,IF(C40&gt;=F$3*설정!$B$10,F$3,IF(C40&gt;=G$3*설정!$B$10,G$3,IF(C40&gt;=H$3*설정!$B$10,H$3,IF(C40&gt;=I$3*설정!$B$10,I$3,J$3)))))</f>
        <v>5</v>
      </c>
      <c r="E40" s="6">
        <f t="shared" si="3"/>
        <v>0</v>
      </c>
      <c r="F40" s="6">
        <f>IF(F$3&lt;=$D40,INT(($C40-SUMPRODUCT($E40:E40,$E$3:E$3))/F$3),0)</f>
        <v>0</v>
      </c>
      <c r="G40" s="6">
        <f>IF(G$3&lt;=$D40,INT(($C40-SUMPRODUCT($E40:F40,$E$3:F$3))/G$3),0)</f>
        <v>0</v>
      </c>
      <c r="H40" s="6">
        <f>IF(H$3&lt;=$D40,INT(($C40-SUMPRODUCT($E40:G40,$E$3:G$3))/H$3),0)</f>
        <v>0</v>
      </c>
      <c r="I40" s="6">
        <f>IF(I$3&lt;=$D40,INT(($C40-SUMPRODUCT($E40:H40,$E$3:H$3))/I$3),0)</f>
        <v>16</v>
      </c>
      <c r="J40" s="6">
        <f>INT(($C40-SUMPRODUCT($E40:I40,$E$3:I$3))/J$3)</f>
        <v>0</v>
      </c>
      <c r="K40" s="4">
        <f t="shared" si="4"/>
        <v>16</v>
      </c>
      <c r="L40" s="6">
        <f t="shared" si="5"/>
        <v>80</v>
      </c>
    </row>
    <row r="41" spans="1:12" x14ac:dyDescent="0.3">
      <c r="A41" s="13" t="str">
        <f>'스테이지별 골드'!C15</f>
        <v>3-3</v>
      </c>
      <c r="B41" s="23" t="s">
        <v>66</v>
      </c>
      <c r="C41" s="5">
        <f>'스테이지별 골드'!K15</f>
        <v>126</v>
      </c>
      <c r="D41" s="6">
        <f>IF(C41&gt;=E$3*설정!$B$10,E$3,IF(C41&gt;=F$3*설정!$B$10,F$3,IF(C41&gt;=G$3*설정!$B$10,G$3,IF(C41&gt;=H$3*설정!$B$10,H$3,IF(C41&gt;=I$3*설정!$B$10,I$3,J$3)))))</f>
        <v>25</v>
      </c>
      <c r="E41" s="6">
        <f t="shared" si="3"/>
        <v>0</v>
      </c>
      <c r="F41" s="6">
        <f>IF(F$3&lt;=$D41,INT(($C41-SUMPRODUCT($E41:E41,$E$3:E$3))/F$3),0)</f>
        <v>0</v>
      </c>
      <c r="G41" s="6">
        <f>IF(G$3&lt;=$D41,INT(($C41-SUMPRODUCT($E41:F41,$E$3:F$3))/G$3),0)</f>
        <v>0</v>
      </c>
      <c r="H41" s="6">
        <f>IF(H$3&lt;=$D41,INT(($C41-SUMPRODUCT($E41:G41,$E$3:G$3))/H$3),0)</f>
        <v>5</v>
      </c>
      <c r="I41" s="6">
        <f>IF(I$3&lt;=$D41,INT(($C41-SUMPRODUCT($E41:H41,$E$3:H$3))/I$3),0)</f>
        <v>0</v>
      </c>
      <c r="J41" s="6">
        <f>INT(($C41-SUMPRODUCT($E41:I41,$E$3:I$3))/J$3)</f>
        <v>1</v>
      </c>
      <c r="K41" s="4">
        <f t="shared" si="4"/>
        <v>6</v>
      </c>
      <c r="L41" s="6">
        <f t="shared" si="5"/>
        <v>126</v>
      </c>
    </row>
    <row r="42" spans="1:12" x14ac:dyDescent="0.3">
      <c r="A42" s="13" t="str">
        <f>'스테이지별 골드'!C15</f>
        <v>3-3</v>
      </c>
      <c r="B42" s="23" t="s">
        <v>68</v>
      </c>
      <c r="C42" s="5">
        <f>'스테이지별 골드'!P15</f>
        <v>360</v>
      </c>
      <c r="D42" s="6">
        <f>IF(C42&gt;=E$3*설정!$B$10,E$3,IF(C42&gt;=F$3*설정!$B$10,F$3,IF(C42&gt;=G$3*설정!$B$10,G$3,IF(C42&gt;=H$3*설정!$B$10,H$3,IF(C42&gt;=I$3*설정!$B$10,I$3,J$3)))))</f>
        <v>25</v>
      </c>
      <c r="E42" s="6">
        <f t="shared" si="3"/>
        <v>0</v>
      </c>
      <c r="F42" s="6">
        <f>IF(F$3&lt;=$D42,INT(($C42-SUMPRODUCT($E42:E42,$E$3:E$3))/F$3),0)</f>
        <v>0</v>
      </c>
      <c r="G42" s="6">
        <f>IF(G$3&lt;=$D42,INT(($C42-SUMPRODUCT($E42:F42,$E$3:F$3))/G$3),0)</f>
        <v>0</v>
      </c>
      <c r="H42" s="6">
        <f>IF(H$3&lt;=$D42,INT(($C42-SUMPRODUCT($E42:G42,$E$3:G$3))/H$3),0)</f>
        <v>14</v>
      </c>
      <c r="I42" s="6">
        <f>IF(I$3&lt;=$D42,INT(($C42-SUMPRODUCT($E42:H42,$E$3:H$3))/I$3),0)</f>
        <v>2</v>
      </c>
      <c r="J42" s="6">
        <f>INT(($C42-SUMPRODUCT($E42:I42,$E$3:I$3))/J$3)</f>
        <v>0</v>
      </c>
      <c r="K42" s="4">
        <f t="shared" si="4"/>
        <v>16</v>
      </c>
      <c r="L42" s="6">
        <f t="shared" si="5"/>
        <v>360</v>
      </c>
    </row>
    <row r="43" spans="1:12" x14ac:dyDescent="0.3">
      <c r="A43" s="28" t="str">
        <f>'스테이지별 골드'!C16</f>
        <v>3-4</v>
      </c>
      <c r="B43" s="24" t="s">
        <v>65</v>
      </c>
      <c r="C43" s="29">
        <f>'스테이지별 골드'!J16</f>
        <v>100</v>
      </c>
      <c r="D43" s="30">
        <f>IF(C43&gt;=E$3*설정!$B$10,E$3,IF(C43&gt;=F$3*설정!$B$10,F$3,IF(C43&gt;=G$3*설정!$B$10,G$3,IF(C43&gt;=H$3*설정!$B$10,H$3,IF(C43&gt;=I$3*설정!$B$10,I$3,J$3)))))</f>
        <v>5</v>
      </c>
      <c r="E43" s="30">
        <f t="shared" si="3"/>
        <v>0</v>
      </c>
      <c r="F43" s="30">
        <f>IF(F$3&lt;=$D43,INT(($C43-SUMPRODUCT($E43:E43,$E$3:E$3))/F$3),0)</f>
        <v>0</v>
      </c>
      <c r="G43" s="30">
        <f>IF(G$3&lt;=$D43,INT(($C43-SUMPRODUCT($E43:F43,$E$3:F$3))/G$3),0)</f>
        <v>0</v>
      </c>
      <c r="H43" s="30">
        <f>IF(H$3&lt;=$D43,INT(($C43-SUMPRODUCT($E43:G43,$E$3:G$3))/H$3),0)</f>
        <v>0</v>
      </c>
      <c r="I43" s="30">
        <f>IF(I$3&lt;=$D43,INT(($C43-SUMPRODUCT($E43:H43,$E$3:H$3))/I$3),0)</f>
        <v>20</v>
      </c>
      <c r="J43" s="30">
        <f>INT(($C43-SUMPRODUCT($E43:I43,$E$3:I$3))/J$3)</f>
        <v>0</v>
      </c>
      <c r="K43" s="25">
        <f t="shared" si="4"/>
        <v>20</v>
      </c>
      <c r="L43" s="30">
        <f t="shared" si="5"/>
        <v>100</v>
      </c>
    </row>
    <row r="44" spans="1:12" x14ac:dyDescent="0.3">
      <c r="A44" s="28" t="str">
        <f>'스테이지별 골드'!C16</f>
        <v>3-4</v>
      </c>
      <c r="B44" s="24" t="s">
        <v>66</v>
      </c>
      <c r="C44" s="29">
        <f>'스테이지별 골드'!K16</f>
        <v>156</v>
      </c>
      <c r="D44" s="30">
        <f>IF(C44&gt;=E$3*설정!$B$10,E$3,IF(C44&gt;=F$3*설정!$B$10,F$3,IF(C44&gt;=G$3*설정!$B$10,G$3,IF(C44&gt;=H$3*설정!$B$10,H$3,IF(C44&gt;=I$3*설정!$B$10,I$3,J$3)))))</f>
        <v>25</v>
      </c>
      <c r="E44" s="30">
        <f t="shared" si="3"/>
        <v>0</v>
      </c>
      <c r="F44" s="30">
        <f>IF(F$3&lt;=$D44,INT(($C44-SUMPRODUCT($E44:E44,$E$3:E$3))/F$3),0)</f>
        <v>0</v>
      </c>
      <c r="G44" s="30">
        <f>IF(G$3&lt;=$D44,INT(($C44-SUMPRODUCT($E44:F44,$E$3:F$3))/G$3),0)</f>
        <v>0</v>
      </c>
      <c r="H44" s="30">
        <f>IF(H$3&lt;=$D44,INT(($C44-SUMPRODUCT($E44:G44,$E$3:G$3))/H$3),0)</f>
        <v>6</v>
      </c>
      <c r="I44" s="30">
        <f>IF(I$3&lt;=$D44,INT(($C44-SUMPRODUCT($E44:H44,$E$3:H$3))/I$3),0)</f>
        <v>1</v>
      </c>
      <c r="J44" s="30">
        <f>INT(($C44-SUMPRODUCT($E44:I44,$E$3:I$3))/J$3)</f>
        <v>1</v>
      </c>
      <c r="K44" s="25">
        <f t="shared" si="4"/>
        <v>8</v>
      </c>
      <c r="L44" s="30">
        <f t="shared" si="5"/>
        <v>156</v>
      </c>
    </row>
    <row r="45" spans="1:12" x14ac:dyDescent="0.3">
      <c r="A45" s="28" t="str">
        <f>'스테이지별 골드'!C16</f>
        <v>3-4</v>
      </c>
      <c r="B45" s="24" t="s">
        <v>67</v>
      </c>
      <c r="C45" s="29">
        <f>'스테이지별 골드'!L16</f>
        <v>750</v>
      </c>
      <c r="D45" s="30">
        <f>IF(C45&gt;=E$3*설정!$B$10,E$3,IF(C45&gt;=F$3*설정!$B$10,F$3,IF(C45&gt;=G$3*설정!$B$10,G$3,IF(C45&gt;=H$3*설정!$B$10,H$3,IF(C45&gt;=I$3*설정!$B$10,I$3,J$3)))))</f>
        <v>100</v>
      </c>
      <c r="E45" s="30">
        <f t="shared" si="3"/>
        <v>0</v>
      </c>
      <c r="F45" s="30">
        <f>IF(F$3&lt;=$D45,INT(($C45-SUMPRODUCT($E45:E45,$E$3:E$3))/F$3),0)</f>
        <v>0</v>
      </c>
      <c r="G45" s="30">
        <f>IF(G$3&lt;=$D45,INT(($C45-SUMPRODUCT($E45:F45,$E$3:F$3))/G$3),0)</f>
        <v>7</v>
      </c>
      <c r="H45" s="30">
        <f>IF(H$3&lt;=$D45,INT(($C45-SUMPRODUCT($E45:G45,$E$3:G$3))/H$3),0)</f>
        <v>2</v>
      </c>
      <c r="I45" s="30">
        <f>IF(I$3&lt;=$D45,INT(($C45-SUMPRODUCT($E45:H45,$E$3:H$3))/I$3),0)</f>
        <v>0</v>
      </c>
      <c r="J45" s="30">
        <f>INT(($C45-SUMPRODUCT($E45:I45,$E$3:I$3))/J$3)</f>
        <v>0</v>
      </c>
      <c r="K45" s="25">
        <f t="shared" si="4"/>
        <v>9</v>
      </c>
      <c r="L45" s="30">
        <f t="shared" si="5"/>
        <v>750</v>
      </c>
    </row>
    <row r="46" spans="1:12" x14ac:dyDescent="0.3">
      <c r="A46" s="28" t="str">
        <f>'스테이지별 골드'!C16</f>
        <v>3-4</v>
      </c>
      <c r="B46" s="24" t="s">
        <v>68</v>
      </c>
      <c r="C46" s="29">
        <f>'스테이지별 골드'!P16</f>
        <v>450</v>
      </c>
      <c r="D46" s="30">
        <f>IF(C46&gt;=E$3*설정!$B$10,E$3,IF(C46&gt;=F$3*설정!$B$10,F$3,IF(C46&gt;=G$3*설정!$B$10,G$3,IF(C46&gt;=H$3*설정!$B$10,H$3,IF(C46&gt;=I$3*설정!$B$10,I$3,J$3)))))</f>
        <v>25</v>
      </c>
      <c r="E46" s="30">
        <f t="shared" si="3"/>
        <v>0</v>
      </c>
      <c r="F46" s="30">
        <f>IF(F$3&lt;=$D46,INT(($C46-SUMPRODUCT($E46:E46,$E$3:E$3))/F$3),0)</f>
        <v>0</v>
      </c>
      <c r="G46" s="30">
        <f>IF(G$3&lt;=$D46,INT(($C46-SUMPRODUCT($E46:F46,$E$3:F$3))/G$3),0)</f>
        <v>0</v>
      </c>
      <c r="H46" s="30">
        <f>IF(H$3&lt;=$D46,INT(($C46-SUMPRODUCT($E46:G46,$E$3:G$3))/H$3),0)</f>
        <v>18</v>
      </c>
      <c r="I46" s="30">
        <f>IF(I$3&lt;=$D46,INT(($C46-SUMPRODUCT($E46:H46,$E$3:H$3))/I$3),0)</f>
        <v>0</v>
      </c>
      <c r="J46" s="30">
        <f>INT(($C46-SUMPRODUCT($E46:I46,$E$3:I$3))/J$3)</f>
        <v>0</v>
      </c>
      <c r="K46" s="25">
        <f t="shared" si="4"/>
        <v>18</v>
      </c>
      <c r="L46" s="30">
        <f t="shared" si="5"/>
        <v>450</v>
      </c>
    </row>
    <row r="47" spans="1:12" x14ac:dyDescent="0.3">
      <c r="A47" s="13" t="str">
        <f>'스테이지별 골드'!C17</f>
        <v>4-1</v>
      </c>
      <c r="B47" s="23" t="s">
        <v>65</v>
      </c>
      <c r="C47" s="5">
        <f>'스테이지별 골드'!J17</f>
        <v>120</v>
      </c>
      <c r="D47" s="6">
        <f>IF(C47&gt;=E$3*설정!$B$10,E$3,IF(C47&gt;=F$3*설정!$B$10,F$3,IF(C47&gt;=G$3*설정!$B$10,G$3,IF(C47&gt;=H$3*설정!$B$10,H$3,IF(C47&gt;=I$3*설정!$B$10,I$3,J$3)))))</f>
        <v>5</v>
      </c>
      <c r="E47" s="6">
        <f t="shared" si="3"/>
        <v>0</v>
      </c>
      <c r="F47" s="6">
        <f>IF(F$3&lt;=$D47,INT(($C47-SUMPRODUCT($E47:E47,$E$3:E$3))/F$3),0)</f>
        <v>0</v>
      </c>
      <c r="G47" s="6">
        <f>IF(G$3&lt;=$D47,INT(($C47-SUMPRODUCT($E47:F47,$E$3:F$3))/G$3),0)</f>
        <v>0</v>
      </c>
      <c r="H47" s="6">
        <f>IF(H$3&lt;=$D47,INT(($C47-SUMPRODUCT($E47:G47,$E$3:G$3))/H$3),0)</f>
        <v>0</v>
      </c>
      <c r="I47" s="6">
        <f>IF(I$3&lt;=$D47,INT(($C47-SUMPRODUCT($E47:H47,$E$3:H$3))/I$3),0)</f>
        <v>24</v>
      </c>
      <c r="J47" s="6">
        <f>INT(($C47-SUMPRODUCT($E47:I47,$E$3:I$3))/J$3)</f>
        <v>0</v>
      </c>
      <c r="K47" s="4">
        <f t="shared" si="4"/>
        <v>24</v>
      </c>
      <c r="L47" s="6">
        <f t="shared" si="5"/>
        <v>120</v>
      </c>
    </row>
    <row r="48" spans="1:12" x14ac:dyDescent="0.3">
      <c r="A48" s="13" t="str">
        <f>'스테이지별 골드'!C17</f>
        <v>4-1</v>
      </c>
      <c r="B48" s="23" t="s">
        <v>66</v>
      </c>
      <c r="C48" s="5">
        <f>'스테이지별 골드'!K17</f>
        <v>187</v>
      </c>
      <c r="D48" s="6">
        <f>IF(C48&gt;=E$3*설정!$B$10,E$3,IF(C48&gt;=F$3*설정!$B$10,F$3,IF(C48&gt;=G$3*설정!$B$10,G$3,IF(C48&gt;=H$3*설정!$B$10,H$3,IF(C48&gt;=I$3*설정!$B$10,I$3,J$3)))))</f>
        <v>25</v>
      </c>
      <c r="E48" s="6">
        <f t="shared" si="3"/>
        <v>0</v>
      </c>
      <c r="F48" s="6">
        <f>IF(F$3&lt;=$D48,INT(($C48-SUMPRODUCT($E48:E48,$E$3:E$3))/F$3),0)</f>
        <v>0</v>
      </c>
      <c r="G48" s="6">
        <f>IF(G$3&lt;=$D48,INT(($C48-SUMPRODUCT($E48:F48,$E$3:F$3))/G$3),0)</f>
        <v>0</v>
      </c>
      <c r="H48" s="6">
        <f>IF(H$3&lt;=$D48,INT(($C48-SUMPRODUCT($E48:G48,$E$3:G$3))/H$3),0)</f>
        <v>7</v>
      </c>
      <c r="I48" s="6">
        <f>IF(I$3&lt;=$D48,INT(($C48-SUMPRODUCT($E48:H48,$E$3:H$3))/I$3),0)</f>
        <v>2</v>
      </c>
      <c r="J48" s="6">
        <f>INT(($C48-SUMPRODUCT($E48:I48,$E$3:I$3))/J$3)</f>
        <v>2</v>
      </c>
      <c r="K48" s="4">
        <f t="shared" si="4"/>
        <v>11</v>
      </c>
      <c r="L48" s="6">
        <f t="shared" si="5"/>
        <v>187</v>
      </c>
    </row>
    <row r="49" spans="1:12" x14ac:dyDescent="0.3">
      <c r="A49" s="13" t="str">
        <f>'스테이지별 골드'!C17</f>
        <v>4-1</v>
      </c>
      <c r="B49" s="23" t="s">
        <v>68</v>
      </c>
      <c r="C49" s="5">
        <f>'스테이지별 골드'!P17</f>
        <v>540</v>
      </c>
      <c r="D49" s="6">
        <f>IF(C49&gt;=E$3*설정!$B$10,E$3,IF(C49&gt;=F$3*설정!$B$10,F$3,IF(C49&gt;=G$3*설정!$B$10,G$3,IF(C49&gt;=H$3*설정!$B$10,H$3,IF(C49&gt;=I$3*설정!$B$10,I$3,J$3)))))</f>
        <v>100</v>
      </c>
      <c r="E49" s="6">
        <f t="shared" si="3"/>
        <v>0</v>
      </c>
      <c r="F49" s="6">
        <f>IF(F$3&lt;=$D49,INT(($C49-SUMPRODUCT($E49:E49,$E$3:E$3))/F$3),0)</f>
        <v>0</v>
      </c>
      <c r="G49" s="6">
        <f>IF(G$3&lt;=$D49,INT(($C49-SUMPRODUCT($E49:F49,$E$3:F$3))/G$3),0)</f>
        <v>5</v>
      </c>
      <c r="H49" s="6">
        <f>IF(H$3&lt;=$D49,INT(($C49-SUMPRODUCT($E49:G49,$E$3:G$3))/H$3),0)</f>
        <v>1</v>
      </c>
      <c r="I49" s="6">
        <f>IF(I$3&lt;=$D49,INT(($C49-SUMPRODUCT($E49:H49,$E$3:H$3))/I$3),0)</f>
        <v>3</v>
      </c>
      <c r="J49" s="6">
        <f>INT(($C49-SUMPRODUCT($E49:I49,$E$3:I$3))/J$3)</f>
        <v>0</v>
      </c>
      <c r="K49" s="4">
        <f t="shared" si="4"/>
        <v>9</v>
      </c>
      <c r="L49" s="6">
        <f t="shared" si="5"/>
        <v>540</v>
      </c>
    </row>
    <row r="50" spans="1:12" x14ac:dyDescent="0.3">
      <c r="A50" s="28" t="str">
        <f>'스테이지별 골드'!C18</f>
        <v>4-2</v>
      </c>
      <c r="B50" s="24" t="s">
        <v>65</v>
      </c>
      <c r="C50" s="29">
        <f>'스테이지별 골드'!J18</f>
        <v>150</v>
      </c>
      <c r="D50" s="30">
        <f>IF(C50&gt;=E$3*설정!$B$10,E$3,IF(C50&gt;=F$3*설정!$B$10,F$3,IF(C50&gt;=G$3*설정!$B$10,G$3,IF(C50&gt;=H$3*설정!$B$10,H$3,IF(C50&gt;=I$3*설정!$B$10,I$3,J$3)))))</f>
        <v>25</v>
      </c>
      <c r="E50" s="30">
        <f t="shared" si="3"/>
        <v>0</v>
      </c>
      <c r="F50" s="30">
        <f>IF(F$3&lt;=$D50,INT(($C50-SUMPRODUCT($E50:E50,$E$3:E$3))/F$3),0)</f>
        <v>0</v>
      </c>
      <c r="G50" s="30">
        <f>IF(G$3&lt;=$D50,INT(($C50-SUMPRODUCT($E50:F50,$E$3:F$3))/G$3),0)</f>
        <v>0</v>
      </c>
      <c r="H50" s="30">
        <f>IF(H$3&lt;=$D50,INT(($C50-SUMPRODUCT($E50:G50,$E$3:G$3))/H$3),0)</f>
        <v>6</v>
      </c>
      <c r="I50" s="30">
        <f>IF(I$3&lt;=$D50,INT(($C50-SUMPRODUCT($E50:H50,$E$3:H$3))/I$3),0)</f>
        <v>0</v>
      </c>
      <c r="J50" s="30">
        <f>INT(($C50-SUMPRODUCT($E50:I50,$E$3:I$3))/J$3)</f>
        <v>0</v>
      </c>
      <c r="K50" s="25">
        <f t="shared" si="4"/>
        <v>6</v>
      </c>
      <c r="L50" s="30">
        <f t="shared" si="5"/>
        <v>150</v>
      </c>
    </row>
    <row r="51" spans="1:12" x14ac:dyDescent="0.3">
      <c r="A51" s="28" t="str">
        <f>'스테이지별 골드'!C18</f>
        <v>4-2</v>
      </c>
      <c r="B51" s="24" t="s">
        <v>66</v>
      </c>
      <c r="C51" s="29">
        <f>'스테이지별 골드'!K18</f>
        <v>234</v>
      </c>
      <c r="D51" s="30">
        <f>IF(C51&gt;=E$3*설정!$B$10,E$3,IF(C51&gt;=F$3*설정!$B$10,F$3,IF(C51&gt;=G$3*설정!$B$10,G$3,IF(C51&gt;=H$3*설정!$B$10,H$3,IF(C51&gt;=I$3*설정!$B$10,I$3,J$3)))))</f>
        <v>25</v>
      </c>
      <c r="E51" s="30">
        <f t="shared" si="3"/>
        <v>0</v>
      </c>
      <c r="F51" s="30">
        <f>IF(F$3&lt;=$D51,INT(($C51-SUMPRODUCT($E51:E51,$E$3:E$3))/F$3),0)</f>
        <v>0</v>
      </c>
      <c r="G51" s="30">
        <f>IF(G$3&lt;=$D51,INT(($C51-SUMPRODUCT($E51:F51,$E$3:F$3))/G$3),0)</f>
        <v>0</v>
      </c>
      <c r="H51" s="30">
        <f>IF(H$3&lt;=$D51,INT(($C51-SUMPRODUCT($E51:G51,$E$3:G$3))/H$3),0)</f>
        <v>9</v>
      </c>
      <c r="I51" s="30">
        <f>IF(I$3&lt;=$D51,INT(($C51-SUMPRODUCT($E51:H51,$E$3:H$3))/I$3),0)</f>
        <v>1</v>
      </c>
      <c r="J51" s="30">
        <f>INT(($C51-SUMPRODUCT($E51:I51,$E$3:I$3))/J$3)</f>
        <v>4</v>
      </c>
      <c r="K51" s="25">
        <f t="shared" si="4"/>
        <v>14</v>
      </c>
      <c r="L51" s="30">
        <f t="shared" si="5"/>
        <v>234</v>
      </c>
    </row>
    <row r="52" spans="1:12" x14ac:dyDescent="0.3">
      <c r="A52" s="28" t="str">
        <f>'스테이지별 골드'!C18</f>
        <v>4-2</v>
      </c>
      <c r="B52" s="24" t="s">
        <v>67</v>
      </c>
      <c r="C52" s="29">
        <f>'스테이지별 골드'!L18</f>
        <v>1125</v>
      </c>
      <c r="D52" s="30">
        <f>IF(C52&gt;=E$3*설정!$B$10,E$3,IF(C52&gt;=F$3*설정!$B$10,F$3,IF(C52&gt;=G$3*설정!$B$10,G$3,IF(C52&gt;=H$3*설정!$B$10,H$3,IF(C52&gt;=I$3*설정!$B$10,I$3,J$3)))))</f>
        <v>100</v>
      </c>
      <c r="E52" s="30">
        <f t="shared" si="3"/>
        <v>0</v>
      </c>
      <c r="F52" s="30">
        <f>IF(F$3&lt;=$D52,INT(($C52-SUMPRODUCT($E52:E52,$E$3:E$3))/F$3),0)</f>
        <v>0</v>
      </c>
      <c r="G52" s="30">
        <f>IF(G$3&lt;=$D52,INT(($C52-SUMPRODUCT($E52:F52,$E$3:F$3))/G$3),0)</f>
        <v>11</v>
      </c>
      <c r="H52" s="30">
        <f>IF(H$3&lt;=$D52,INT(($C52-SUMPRODUCT($E52:G52,$E$3:G$3))/H$3),0)</f>
        <v>1</v>
      </c>
      <c r="I52" s="30">
        <f>IF(I$3&lt;=$D52,INT(($C52-SUMPRODUCT($E52:H52,$E$3:H$3))/I$3),0)</f>
        <v>0</v>
      </c>
      <c r="J52" s="30">
        <f>INT(($C52-SUMPRODUCT($E52:I52,$E$3:I$3))/J$3)</f>
        <v>0</v>
      </c>
      <c r="K52" s="25">
        <f t="shared" si="4"/>
        <v>12</v>
      </c>
      <c r="L52" s="30">
        <f t="shared" si="5"/>
        <v>1125</v>
      </c>
    </row>
    <row r="53" spans="1:12" x14ac:dyDescent="0.3">
      <c r="A53" s="28" t="str">
        <f>'스테이지별 골드'!C18</f>
        <v>4-2</v>
      </c>
      <c r="B53" s="24" t="s">
        <v>68</v>
      </c>
      <c r="C53" s="29">
        <f>'스테이지별 골드'!P18</f>
        <v>675</v>
      </c>
      <c r="D53" s="30">
        <f>IF(C53&gt;=E$3*설정!$B$10,E$3,IF(C53&gt;=F$3*설정!$B$10,F$3,IF(C53&gt;=G$3*설정!$B$10,G$3,IF(C53&gt;=H$3*설정!$B$10,H$3,IF(C53&gt;=I$3*설정!$B$10,I$3,J$3)))))</f>
        <v>100</v>
      </c>
      <c r="E53" s="30">
        <f t="shared" si="3"/>
        <v>0</v>
      </c>
      <c r="F53" s="30">
        <f>IF(F$3&lt;=$D53,INT(($C53-SUMPRODUCT($E53:E53,$E$3:E$3))/F$3),0)</f>
        <v>0</v>
      </c>
      <c r="G53" s="30">
        <f>IF(G$3&lt;=$D53,INT(($C53-SUMPRODUCT($E53:F53,$E$3:F$3))/G$3),0)</f>
        <v>6</v>
      </c>
      <c r="H53" s="30">
        <f>IF(H$3&lt;=$D53,INT(($C53-SUMPRODUCT($E53:G53,$E$3:G$3))/H$3),0)</f>
        <v>3</v>
      </c>
      <c r="I53" s="30">
        <f>IF(I$3&lt;=$D53,INT(($C53-SUMPRODUCT($E53:H53,$E$3:H$3))/I$3),0)</f>
        <v>0</v>
      </c>
      <c r="J53" s="30">
        <f>INT(($C53-SUMPRODUCT($E53:I53,$E$3:I$3))/J$3)</f>
        <v>0</v>
      </c>
      <c r="K53" s="25">
        <f t="shared" si="4"/>
        <v>9</v>
      </c>
      <c r="L53" s="30">
        <f t="shared" si="5"/>
        <v>675</v>
      </c>
    </row>
    <row r="54" spans="1:12" x14ac:dyDescent="0.3">
      <c r="A54" s="13" t="str">
        <f>'스테이지별 골드'!C19</f>
        <v>4-3</v>
      </c>
      <c r="B54" s="23" t="s">
        <v>65</v>
      </c>
      <c r="C54" s="5">
        <f>'스테이지별 골드'!J19</f>
        <v>180</v>
      </c>
      <c r="D54" s="6">
        <f>IF(C54&gt;=E$3*설정!$B$10,E$3,IF(C54&gt;=F$3*설정!$B$10,F$3,IF(C54&gt;=G$3*설정!$B$10,G$3,IF(C54&gt;=H$3*설정!$B$10,H$3,IF(C54&gt;=I$3*설정!$B$10,I$3,J$3)))))</f>
        <v>25</v>
      </c>
      <c r="E54" s="6">
        <f t="shared" si="3"/>
        <v>0</v>
      </c>
      <c r="F54" s="6">
        <f>IF(F$3&lt;=$D54,INT(($C54-SUMPRODUCT($E54:E54,$E$3:E$3))/F$3),0)</f>
        <v>0</v>
      </c>
      <c r="G54" s="6">
        <f>IF(G$3&lt;=$D54,INT(($C54-SUMPRODUCT($E54:F54,$E$3:F$3))/G$3),0)</f>
        <v>0</v>
      </c>
      <c r="H54" s="6">
        <f>IF(H$3&lt;=$D54,INT(($C54-SUMPRODUCT($E54:G54,$E$3:G$3))/H$3),0)</f>
        <v>7</v>
      </c>
      <c r="I54" s="6">
        <f>IF(I$3&lt;=$D54,INT(($C54-SUMPRODUCT($E54:H54,$E$3:H$3))/I$3),0)</f>
        <v>1</v>
      </c>
      <c r="J54" s="6">
        <f>INT(($C54-SUMPRODUCT($E54:I54,$E$3:I$3))/J$3)</f>
        <v>0</v>
      </c>
      <c r="K54" s="4">
        <f t="shared" si="4"/>
        <v>8</v>
      </c>
      <c r="L54" s="6">
        <f t="shared" si="5"/>
        <v>180</v>
      </c>
    </row>
    <row r="55" spans="1:12" x14ac:dyDescent="0.3">
      <c r="A55" s="13" t="str">
        <f>'스테이지별 골드'!C19</f>
        <v>4-3</v>
      </c>
      <c r="B55" s="23" t="s">
        <v>66</v>
      </c>
      <c r="C55" s="5">
        <f>'스테이지별 골드'!K19</f>
        <v>281</v>
      </c>
      <c r="D55" s="6">
        <f>IF(C55&gt;=E$3*설정!$B$10,E$3,IF(C55&gt;=F$3*설정!$B$10,F$3,IF(C55&gt;=G$3*설정!$B$10,G$3,IF(C55&gt;=H$3*설정!$B$10,H$3,IF(C55&gt;=I$3*설정!$B$10,I$3,J$3)))))</f>
        <v>25</v>
      </c>
      <c r="E55" s="6">
        <f t="shared" si="3"/>
        <v>0</v>
      </c>
      <c r="F55" s="6">
        <f>IF(F$3&lt;=$D55,INT(($C55-SUMPRODUCT($E55:E55,$E$3:E$3))/F$3),0)</f>
        <v>0</v>
      </c>
      <c r="G55" s="6">
        <f>IF(G$3&lt;=$D55,INT(($C55-SUMPRODUCT($E55:F55,$E$3:F$3))/G$3),0)</f>
        <v>0</v>
      </c>
      <c r="H55" s="6">
        <f>IF(H$3&lt;=$D55,INT(($C55-SUMPRODUCT($E55:G55,$E$3:G$3))/H$3),0)</f>
        <v>11</v>
      </c>
      <c r="I55" s="6">
        <f>IF(I$3&lt;=$D55,INT(($C55-SUMPRODUCT($E55:H55,$E$3:H$3))/I$3),0)</f>
        <v>1</v>
      </c>
      <c r="J55" s="6">
        <f>INT(($C55-SUMPRODUCT($E55:I55,$E$3:I$3))/J$3)</f>
        <v>1</v>
      </c>
      <c r="K55" s="4">
        <f t="shared" si="4"/>
        <v>13</v>
      </c>
      <c r="L55" s="6">
        <f t="shared" si="5"/>
        <v>281</v>
      </c>
    </row>
    <row r="56" spans="1:12" x14ac:dyDescent="0.3">
      <c r="A56" s="13" t="str">
        <f>'스테이지별 골드'!C19</f>
        <v>4-3</v>
      </c>
      <c r="B56" s="23" t="s">
        <v>68</v>
      </c>
      <c r="C56" s="5">
        <f>'스테이지별 골드'!P19</f>
        <v>810</v>
      </c>
      <c r="D56" s="6">
        <f>IF(C56&gt;=E$3*설정!$B$10,E$3,IF(C56&gt;=F$3*설정!$B$10,F$3,IF(C56&gt;=G$3*설정!$B$10,G$3,IF(C56&gt;=H$3*설정!$B$10,H$3,IF(C56&gt;=I$3*설정!$B$10,I$3,J$3)))))</f>
        <v>100</v>
      </c>
      <c r="E56" s="6">
        <f t="shared" si="3"/>
        <v>0</v>
      </c>
      <c r="F56" s="6">
        <f>IF(F$3&lt;=$D56,INT(($C56-SUMPRODUCT($E56:E56,$E$3:E$3))/F$3),0)</f>
        <v>0</v>
      </c>
      <c r="G56" s="6">
        <f>IF(G$3&lt;=$D56,INT(($C56-SUMPRODUCT($E56:F56,$E$3:F$3))/G$3),0)</f>
        <v>8</v>
      </c>
      <c r="H56" s="6">
        <f>IF(H$3&lt;=$D56,INT(($C56-SUMPRODUCT($E56:G56,$E$3:G$3))/H$3),0)</f>
        <v>0</v>
      </c>
      <c r="I56" s="6">
        <f>IF(I$3&lt;=$D56,INT(($C56-SUMPRODUCT($E56:H56,$E$3:H$3))/I$3),0)</f>
        <v>2</v>
      </c>
      <c r="J56" s="6">
        <f>INT(($C56-SUMPRODUCT($E56:I56,$E$3:I$3))/J$3)</f>
        <v>0</v>
      </c>
      <c r="K56" s="4">
        <f t="shared" si="4"/>
        <v>10</v>
      </c>
      <c r="L56" s="6">
        <f t="shared" si="5"/>
        <v>810</v>
      </c>
    </row>
    <row r="57" spans="1:12" x14ac:dyDescent="0.3">
      <c r="A57" s="28" t="str">
        <f>'스테이지별 골드'!C20</f>
        <v>4-4</v>
      </c>
      <c r="B57" s="24" t="s">
        <v>65</v>
      </c>
      <c r="C57" s="29">
        <f>'스테이지별 골드'!J20</f>
        <v>225</v>
      </c>
      <c r="D57" s="30">
        <f>IF(C57&gt;=E$3*설정!$B$10,E$3,IF(C57&gt;=F$3*설정!$B$10,F$3,IF(C57&gt;=G$3*설정!$B$10,G$3,IF(C57&gt;=H$3*설정!$B$10,H$3,IF(C57&gt;=I$3*설정!$B$10,I$3,J$3)))))</f>
        <v>25</v>
      </c>
      <c r="E57" s="30">
        <f t="shared" si="3"/>
        <v>0</v>
      </c>
      <c r="F57" s="30">
        <f>IF(F$3&lt;=$D57,INT(($C57-SUMPRODUCT($E57:E57,$E$3:E$3))/F$3),0)</f>
        <v>0</v>
      </c>
      <c r="G57" s="30">
        <f>IF(G$3&lt;=$D57,INT(($C57-SUMPRODUCT($E57:F57,$E$3:F$3))/G$3),0)</f>
        <v>0</v>
      </c>
      <c r="H57" s="30">
        <f>IF(H$3&lt;=$D57,INT(($C57-SUMPRODUCT($E57:G57,$E$3:G$3))/H$3),0)</f>
        <v>9</v>
      </c>
      <c r="I57" s="30">
        <f>IF(I$3&lt;=$D57,INT(($C57-SUMPRODUCT($E57:H57,$E$3:H$3))/I$3),0)</f>
        <v>0</v>
      </c>
      <c r="J57" s="30">
        <f>INT(($C57-SUMPRODUCT($E57:I57,$E$3:I$3))/J$3)</f>
        <v>0</v>
      </c>
      <c r="K57" s="25">
        <f t="shared" si="4"/>
        <v>9</v>
      </c>
      <c r="L57" s="30">
        <f t="shared" si="5"/>
        <v>225</v>
      </c>
    </row>
    <row r="58" spans="1:12" x14ac:dyDescent="0.3">
      <c r="A58" s="28" t="str">
        <f>'스테이지별 골드'!C20</f>
        <v>4-4</v>
      </c>
      <c r="B58" s="24" t="s">
        <v>66</v>
      </c>
      <c r="C58" s="29">
        <f>'스테이지별 골드'!K20</f>
        <v>351</v>
      </c>
      <c r="D58" s="30">
        <f>IF(C58&gt;=E$3*설정!$B$10,E$3,IF(C58&gt;=F$3*설정!$B$10,F$3,IF(C58&gt;=G$3*설정!$B$10,G$3,IF(C58&gt;=H$3*설정!$B$10,H$3,IF(C58&gt;=I$3*설정!$B$10,I$3,J$3)))))</f>
        <v>25</v>
      </c>
      <c r="E58" s="30">
        <f t="shared" si="3"/>
        <v>0</v>
      </c>
      <c r="F58" s="30">
        <f>IF(F$3&lt;=$D58,INT(($C58-SUMPRODUCT($E58:E58,$E$3:E$3))/F$3),0)</f>
        <v>0</v>
      </c>
      <c r="G58" s="30">
        <f>IF(G$3&lt;=$D58,INT(($C58-SUMPRODUCT($E58:F58,$E$3:F$3))/G$3),0)</f>
        <v>0</v>
      </c>
      <c r="H58" s="30">
        <f>IF(H$3&lt;=$D58,INT(($C58-SUMPRODUCT($E58:G58,$E$3:G$3))/H$3),0)</f>
        <v>14</v>
      </c>
      <c r="I58" s="30">
        <f>IF(I$3&lt;=$D58,INT(($C58-SUMPRODUCT($E58:H58,$E$3:H$3))/I$3),0)</f>
        <v>0</v>
      </c>
      <c r="J58" s="30">
        <f>INT(($C58-SUMPRODUCT($E58:I58,$E$3:I$3))/J$3)</f>
        <v>1</v>
      </c>
      <c r="K58" s="25">
        <f t="shared" si="4"/>
        <v>15</v>
      </c>
      <c r="L58" s="30">
        <f t="shared" si="5"/>
        <v>351</v>
      </c>
    </row>
    <row r="59" spans="1:12" x14ac:dyDescent="0.3">
      <c r="A59" s="28" t="str">
        <f>'스테이지별 골드'!C20</f>
        <v>4-4</v>
      </c>
      <c r="B59" s="24" t="s">
        <v>67</v>
      </c>
      <c r="C59" s="29">
        <f>'스테이지별 골드'!L20</f>
        <v>1688</v>
      </c>
      <c r="D59" s="30">
        <f>IF(C59&gt;=E$3*설정!$B$10,E$3,IF(C59&gt;=F$3*설정!$B$10,F$3,IF(C59&gt;=G$3*설정!$B$10,G$3,IF(C59&gt;=H$3*설정!$B$10,H$3,IF(C59&gt;=I$3*설정!$B$10,I$3,J$3)))))</f>
        <v>100</v>
      </c>
      <c r="E59" s="30">
        <f t="shared" si="3"/>
        <v>0</v>
      </c>
      <c r="F59" s="30">
        <f>IF(F$3&lt;=$D59,INT(($C59-SUMPRODUCT($E59:E59,$E$3:E$3))/F$3),0)</f>
        <v>0</v>
      </c>
      <c r="G59" s="30">
        <f>IF(G$3&lt;=$D59,INT(($C59-SUMPRODUCT($E59:F59,$E$3:F$3))/G$3),0)</f>
        <v>16</v>
      </c>
      <c r="H59" s="30">
        <f>IF(H$3&lt;=$D59,INT(($C59-SUMPRODUCT($E59:G59,$E$3:G$3))/H$3),0)</f>
        <v>3</v>
      </c>
      <c r="I59" s="30">
        <f>IF(I$3&lt;=$D59,INT(($C59-SUMPRODUCT($E59:H59,$E$3:H$3))/I$3),0)</f>
        <v>2</v>
      </c>
      <c r="J59" s="30">
        <f>INT(($C59-SUMPRODUCT($E59:I59,$E$3:I$3))/J$3)</f>
        <v>3</v>
      </c>
      <c r="K59" s="25">
        <f t="shared" si="4"/>
        <v>24</v>
      </c>
      <c r="L59" s="30">
        <f t="shared" si="5"/>
        <v>1688</v>
      </c>
    </row>
    <row r="60" spans="1:12" x14ac:dyDescent="0.3">
      <c r="A60" s="28" t="str">
        <f>'스테이지별 골드'!C20</f>
        <v>4-4</v>
      </c>
      <c r="B60" s="24" t="s">
        <v>68</v>
      </c>
      <c r="C60" s="29">
        <f>'스테이지별 골드'!P20</f>
        <v>1013</v>
      </c>
      <c r="D60" s="30">
        <f>IF(C60&gt;=E$3*설정!$B$10,E$3,IF(C60&gt;=F$3*설정!$B$10,F$3,IF(C60&gt;=G$3*설정!$B$10,G$3,IF(C60&gt;=H$3*설정!$B$10,H$3,IF(C60&gt;=I$3*설정!$B$10,I$3,J$3)))))</f>
        <v>100</v>
      </c>
      <c r="E60" s="30">
        <f t="shared" si="3"/>
        <v>0</v>
      </c>
      <c r="F60" s="30">
        <f>IF(F$3&lt;=$D60,INT(($C60-SUMPRODUCT($E60:E60,$E$3:E$3))/F$3),0)</f>
        <v>0</v>
      </c>
      <c r="G60" s="30">
        <f>IF(G$3&lt;=$D60,INT(($C60-SUMPRODUCT($E60:F60,$E$3:F$3))/G$3),0)</f>
        <v>10</v>
      </c>
      <c r="H60" s="30">
        <f>IF(H$3&lt;=$D60,INT(($C60-SUMPRODUCT($E60:G60,$E$3:G$3))/H$3),0)</f>
        <v>0</v>
      </c>
      <c r="I60" s="30">
        <f>IF(I$3&lt;=$D60,INT(($C60-SUMPRODUCT($E60:H60,$E$3:H$3))/I$3),0)</f>
        <v>2</v>
      </c>
      <c r="J60" s="30">
        <f>INT(($C60-SUMPRODUCT($E60:I60,$E$3:I$3))/J$3)</f>
        <v>3</v>
      </c>
      <c r="K60" s="25">
        <f t="shared" si="4"/>
        <v>15</v>
      </c>
      <c r="L60" s="30">
        <f t="shared" si="5"/>
        <v>1013</v>
      </c>
    </row>
    <row r="61" spans="1:12" x14ac:dyDescent="0.3">
      <c r="A61" s="13" t="str">
        <f>'스테이지별 골드'!C21</f>
        <v>5-1</v>
      </c>
      <c r="B61" s="23" t="s">
        <v>65</v>
      </c>
      <c r="C61" s="5">
        <f>'스테이지별 골드'!J21</f>
        <v>270</v>
      </c>
      <c r="D61" s="6">
        <f>IF(C61&gt;=E$3*설정!$B$10,E$3,IF(C61&gt;=F$3*설정!$B$10,F$3,IF(C61&gt;=G$3*설정!$B$10,G$3,IF(C61&gt;=H$3*설정!$B$10,H$3,IF(C61&gt;=I$3*설정!$B$10,I$3,J$3)))))</f>
        <v>25</v>
      </c>
      <c r="E61" s="6">
        <f t="shared" si="3"/>
        <v>0</v>
      </c>
      <c r="F61" s="6">
        <f>IF(F$3&lt;=$D61,INT(($C61-SUMPRODUCT($E61:E61,$E$3:E$3))/F$3),0)</f>
        <v>0</v>
      </c>
      <c r="G61" s="6">
        <f>IF(G$3&lt;=$D61,INT(($C61-SUMPRODUCT($E61:F61,$E$3:F$3))/G$3),0)</f>
        <v>0</v>
      </c>
      <c r="H61" s="6">
        <f>IF(H$3&lt;=$D61,INT(($C61-SUMPRODUCT($E61:G61,$E$3:G$3))/H$3),0)</f>
        <v>10</v>
      </c>
      <c r="I61" s="6">
        <f>IF(I$3&lt;=$D61,INT(($C61-SUMPRODUCT($E61:H61,$E$3:H$3))/I$3),0)</f>
        <v>4</v>
      </c>
      <c r="J61" s="6">
        <f>INT(($C61-SUMPRODUCT($E61:I61,$E$3:I$3))/J$3)</f>
        <v>0</v>
      </c>
      <c r="K61" s="4">
        <f t="shared" si="4"/>
        <v>14</v>
      </c>
      <c r="L61" s="6">
        <f t="shared" si="5"/>
        <v>270</v>
      </c>
    </row>
    <row r="62" spans="1:12" x14ac:dyDescent="0.3">
      <c r="A62" s="13" t="str">
        <f>'스테이지별 골드'!C21</f>
        <v>5-1</v>
      </c>
      <c r="B62" s="23" t="s">
        <v>66</v>
      </c>
      <c r="C62" s="5">
        <f>'스테이지별 골드'!K21</f>
        <v>421</v>
      </c>
      <c r="D62" s="6">
        <f>IF(C62&gt;=E$3*설정!$B$10,E$3,IF(C62&gt;=F$3*설정!$B$10,F$3,IF(C62&gt;=G$3*설정!$B$10,G$3,IF(C62&gt;=H$3*설정!$B$10,H$3,IF(C62&gt;=I$3*설정!$B$10,I$3,J$3)))))</f>
        <v>25</v>
      </c>
      <c r="E62" s="6">
        <f t="shared" si="3"/>
        <v>0</v>
      </c>
      <c r="F62" s="6">
        <f>IF(F$3&lt;=$D62,INT(($C62-SUMPRODUCT($E62:E62,$E$3:E$3))/F$3),0)</f>
        <v>0</v>
      </c>
      <c r="G62" s="6">
        <f>IF(G$3&lt;=$D62,INT(($C62-SUMPRODUCT($E62:F62,$E$3:F$3))/G$3),0)</f>
        <v>0</v>
      </c>
      <c r="H62" s="6">
        <f>IF(H$3&lt;=$D62,INT(($C62-SUMPRODUCT($E62:G62,$E$3:G$3))/H$3),0)</f>
        <v>16</v>
      </c>
      <c r="I62" s="6">
        <f>IF(I$3&lt;=$D62,INT(($C62-SUMPRODUCT($E62:H62,$E$3:H$3))/I$3),0)</f>
        <v>4</v>
      </c>
      <c r="J62" s="6">
        <f>INT(($C62-SUMPRODUCT($E62:I62,$E$3:I$3))/J$3)</f>
        <v>1</v>
      </c>
      <c r="K62" s="4">
        <f t="shared" si="4"/>
        <v>21</v>
      </c>
      <c r="L62" s="6">
        <f t="shared" si="5"/>
        <v>421</v>
      </c>
    </row>
    <row r="63" spans="1:12" x14ac:dyDescent="0.3">
      <c r="A63" s="13" t="str">
        <f>'스테이지별 골드'!C21</f>
        <v>5-1</v>
      </c>
      <c r="B63" s="23" t="s">
        <v>68</v>
      </c>
      <c r="C63" s="5">
        <f>'스테이지별 골드'!P21</f>
        <v>1215</v>
      </c>
      <c r="D63" s="6">
        <f>IF(C63&gt;=E$3*설정!$B$10,E$3,IF(C63&gt;=F$3*설정!$B$10,F$3,IF(C63&gt;=G$3*설정!$B$10,G$3,IF(C63&gt;=H$3*설정!$B$10,H$3,IF(C63&gt;=I$3*설정!$B$10,I$3,J$3)))))</f>
        <v>100</v>
      </c>
      <c r="E63" s="6">
        <f t="shared" si="3"/>
        <v>0</v>
      </c>
      <c r="F63" s="6">
        <f>IF(F$3&lt;=$D63,INT(($C63-SUMPRODUCT($E63:E63,$E$3:E$3))/F$3),0)</f>
        <v>0</v>
      </c>
      <c r="G63" s="6">
        <f>IF(G$3&lt;=$D63,INT(($C63-SUMPRODUCT($E63:F63,$E$3:F$3))/G$3),0)</f>
        <v>12</v>
      </c>
      <c r="H63" s="6">
        <f>IF(H$3&lt;=$D63,INT(($C63-SUMPRODUCT($E63:G63,$E$3:G$3))/H$3),0)</f>
        <v>0</v>
      </c>
      <c r="I63" s="6">
        <f>IF(I$3&lt;=$D63,INT(($C63-SUMPRODUCT($E63:H63,$E$3:H$3))/I$3),0)</f>
        <v>3</v>
      </c>
      <c r="J63" s="6">
        <f>INT(($C63-SUMPRODUCT($E63:I63,$E$3:I$3))/J$3)</f>
        <v>0</v>
      </c>
      <c r="K63" s="4">
        <f t="shared" si="4"/>
        <v>15</v>
      </c>
      <c r="L63" s="6">
        <f t="shared" si="5"/>
        <v>1215</v>
      </c>
    </row>
    <row r="64" spans="1:12" x14ac:dyDescent="0.3">
      <c r="A64" s="28" t="str">
        <f>'스테이지별 골드'!C22</f>
        <v>5-2</v>
      </c>
      <c r="B64" s="24" t="s">
        <v>65</v>
      </c>
      <c r="C64" s="29">
        <f>'스테이지별 골드'!J22</f>
        <v>340</v>
      </c>
      <c r="D64" s="30">
        <f>IF(C64&gt;=E$3*설정!$B$10,E$3,IF(C64&gt;=F$3*설정!$B$10,F$3,IF(C64&gt;=G$3*설정!$B$10,G$3,IF(C64&gt;=H$3*설정!$B$10,H$3,IF(C64&gt;=I$3*설정!$B$10,I$3,J$3)))))</f>
        <v>25</v>
      </c>
      <c r="E64" s="30">
        <f t="shared" si="3"/>
        <v>0</v>
      </c>
      <c r="F64" s="30">
        <f>IF(F$3&lt;=$D64,INT(($C64-SUMPRODUCT($E64:E64,$E$3:E$3))/F$3),0)</f>
        <v>0</v>
      </c>
      <c r="G64" s="30">
        <f>IF(G$3&lt;=$D64,INT(($C64-SUMPRODUCT($E64:F64,$E$3:F$3))/G$3),0)</f>
        <v>0</v>
      </c>
      <c r="H64" s="30">
        <f>IF(H$3&lt;=$D64,INT(($C64-SUMPRODUCT($E64:G64,$E$3:G$3))/H$3),0)</f>
        <v>13</v>
      </c>
      <c r="I64" s="30">
        <f>IF(I$3&lt;=$D64,INT(($C64-SUMPRODUCT($E64:H64,$E$3:H$3))/I$3),0)</f>
        <v>3</v>
      </c>
      <c r="J64" s="30">
        <f>INT(($C64-SUMPRODUCT($E64:I64,$E$3:I$3))/J$3)</f>
        <v>0</v>
      </c>
      <c r="K64" s="25">
        <f t="shared" si="4"/>
        <v>16</v>
      </c>
      <c r="L64" s="30">
        <f t="shared" si="5"/>
        <v>340</v>
      </c>
    </row>
    <row r="65" spans="1:12" x14ac:dyDescent="0.3">
      <c r="A65" s="28" t="str">
        <f>'스테이지별 골드'!C22</f>
        <v>5-2</v>
      </c>
      <c r="B65" s="24" t="s">
        <v>66</v>
      </c>
      <c r="C65" s="29">
        <f>'스테이지별 골드'!K22</f>
        <v>530</v>
      </c>
      <c r="D65" s="30">
        <f>IF(C65&gt;=E$3*설정!$B$10,E$3,IF(C65&gt;=F$3*설정!$B$10,F$3,IF(C65&gt;=G$3*설정!$B$10,G$3,IF(C65&gt;=H$3*설정!$B$10,H$3,IF(C65&gt;=I$3*설정!$B$10,I$3,J$3)))))</f>
        <v>100</v>
      </c>
      <c r="E65" s="30">
        <f t="shared" si="3"/>
        <v>0</v>
      </c>
      <c r="F65" s="30">
        <f>IF(F$3&lt;=$D65,INT(($C65-SUMPRODUCT($E65:E65,$E$3:E$3))/F$3),0)</f>
        <v>0</v>
      </c>
      <c r="G65" s="30">
        <f>IF(G$3&lt;=$D65,INT(($C65-SUMPRODUCT($E65:F65,$E$3:F$3))/G$3),0)</f>
        <v>5</v>
      </c>
      <c r="H65" s="30">
        <f>IF(H$3&lt;=$D65,INT(($C65-SUMPRODUCT($E65:G65,$E$3:G$3))/H$3),0)</f>
        <v>1</v>
      </c>
      <c r="I65" s="30">
        <f>IF(I$3&lt;=$D65,INT(($C65-SUMPRODUCT($E65:H65,$E$3:H$3))/I$3),0)</f>
        <v>1</v>
      </c>
      <c r="J65" s="30">
        <f>INT(($C65-SUMPRODUCT($E65:I65,$E$3:I$3))/J$3)</f>
        <v>0</v>
      </c>
      <c r="K65" s="25">
        <f t="shared" si="4"/>
        <v>7</v>
      </c>
      <c r="L65" s="30">
        <f t="shared" si="5"/>
        <v>530</v>
      </c>
    </row>
    <row r="66" spans="1:12" x14ac:dyDescent="0.3">
      <c r="A66" s="28" t="str">
        <f>'스테이지별 골드'!C22</f>
        <v>5-2</v>
      </c>
      <c r="B66" s="24" t="s">
        <v>67</v>
      </c>
      <c r="C66" s="29">
        <f>'스테이지별 골드'!L22</f>
        <v>2550</v>
      </c>
      <c r="D66" s="30">
        <f>IF(C66&gt;=E$3*설정!$B$10,E$3,IF(C66&gt;=F$3*설정!$B$10,F$3,IF(C66&gt;=G$3*설정!$B$10,G$3,IF(C66&gt;=H$3*설정!$B$10,H$3,IF(C66&gt;=I$3*설정!$B$10,I$3,J$3)))))</f>
        <v>500</v>
      </c>
      <c r="E66" s="30">
        <f t="shared" si="3"/>
        <v>0</v>
      </c>
      <c r="F66" s="30">
        <f>IF(F$3&lt;=$D66,INT(($C66-SUMPRODUCT($E66:E66,$E$3:E$3))/F$3),0)</f>
        <v>5</v>
      </c>
      <c r="G66" s="30">
        <f>IF(G$3&lt;=$D66,INT(($C66-SUMPRODUCT($E66:F66,$E$3:F$3))/G$3),0)</f>
        <v>0</v>
      </c>
      <c r="H66" s="30">
        <f>IF(H$3&lt;=$D66,INT(($C66-SUMPRODUCT($E66:G66,$E$3:G$3))/H$3),0)</f>
        <v>2</v>
      </c>
      <c r="I66" s="30">
        <f>IF(I$3&lt;=$D66,INT(($C66-SUMPRODUCT($E66:H66,$E$3:H$3))/I$3),0)</f>
        <v>0</v>
      </c>
      <c r="J66" s="30">
        <f>INT(($C66-SUMPRODUCT($E66:I66,$E$3:I$3))/J$3)</f>
        <v>0</v>
      </c>
      <c r="K66" s="25">
        <f t="shared" si="4"/>
        <v>7</v>
      </c>
      <c r="L66" s="30">
        <f t="shared" si="5"/>
        <v>2550</v>
      </c>
    </row>
    <row r="67" spans="1:12" x14ac:dyDescent="0.3">
      <c r="A67" s="28" t="str">
        <f>'스테이지별 골드'!C22</f>
        <v>5-2</v>
      </c>
      <c r="B67" s="24" t="s">
        <v>68</v>
      </c>
      <c r="C67" s="29">
        <f>'스테이지별 골드'!P22</f>
        <v>1530</v>
      </c>
      <c r="D67" s="30">
        <f>IF(C67&gt;=E$3*설정!$B$10,E$3,IF(C67&gt;=F$3*설정!$B$10,F$3,IF(C67&gt;=G$3*설정!$B$10,G$3,IF(C67&gt;=H$3*설정!$B$10,H$3,IF(C67&gt;=I$3*설정!$B$10,I$3,J$3)))))</f>
        <v>100</v>
      </c>
      <c r="E67" s="30">
        <f t="shared" si="3"/>
        <v>0</v>
      </c>
      <c r="F67" s="30">
        <f>IF(F$3&lt;=$D67,INT(($C67-SUMPRODUCT($E67:E67,$E$3:E$3))/F$3),0)</f>
        <v>0</v>
      </c>
      <c r="G67" s="30">
        <f>IF(G$3&lt;=$D67,INT(($C67-SUMPRODUCT($E67:F67,$E$3:F$3))/G$3),0)</f>
        <v>15</v>
      </c>
      <c r="H67" s="30">
        <f>IF(H$3&lt;=$D67,INT(($C67-SUMPRODUCT($E67:G67,$E$3:G$3))/H$3),0)</f>
        <v>1</v>
      </c>
      <c r="I67" s="30">
        <f>IF(I$3&lt;=$D67,INT(($C67-SUMPRODUCT($E67:H67,$E$3:H$3))/I$3),0)</f>
        <v>1</v>
      </c>
      <c r="J67" s="30">
        <f>INT(($C67-SUMPRODUCT($E67:I67,$E$3:I$3))/J$3)</f>
        <v>0</v>
      </c>
      <c r="K67" s="25">
        <f t="shared" si="4"/>
        <v>17</v>
      </c>
      <c r="L67" s="30">
        <f t="shared" si="5"/>
        <v>1530</v>
      </c>
    </row>
    <row r="68" spans="1:12" x14ac:dyDescent="0.3">
      <c r="A68" s="13" t="str">
        <f>'스테이지별 골드'!C23</f>
        <v>5-3</v>
      </c>
      <c r="B68" s="23" t="s">
        <v>65</v>
      </c>
      <c r="C68" s="5">
        <f>'스테이지별 골드'!J23</f>
        <v>410</v>
      </c>
      <c r="D68" s="6">
        <f>IF(C68&gt;=E$3*설정!$B$10,E$3,IF(C68&gt;=F$3*설정!$B$10,F$3,IF(C68&gt;=G$3*설정!$B$10,G$3,IF(C68&gt;=H$3*설정!$B$10,H$3,IF(C68&gt;=I$3*설정!$B$10,I$3,J$3)))))</f>
        <v>25</v>
      </c>
      <c r="E68" s="6">
        <f t="shared" si="3"/>
        <v>0</v>
      </c>
      <c r="F68" s="6">
        <f>IF(F$3&lt;=$D68,INT(($C68-SUMPRODUCT($E68:E68,$E$3:E$3))/F$3),0)</f>
        <v>0</v>
      </c>
      <c r="G68" s="6">
        <f>IF(G$3&lt;=$D68,INT(($C68-SUMPRODUCT($E68:F68,$E$3:F$3))/G$3),0)</f>
        <v>0</v>
      </c>
      <c r="H68" s="6">
        <f>IF(H$3&lt;=$D68,INT(($C68-SUMPRODUCT($E68:G68,$E$3:G$3))/H$3),0)</f>
        <v>16</v>
      </c>
      <c r="I68" s="6">
        <f>IF(I$3&lt;=$D68,INT(($C68-SUMPRODUCT($E68:H68,$E$3:H$3))/I$3),0)</f>
        <v>2</v>
      </c>
      <c r="J68" s="6">
        <f>INT(($C68-SUMPRODUCT($E68:I68,$E$3:I$3))/J$3)</f>
        <v>0</v>
      </c>
      <c r="K68" s="4">
        <f t="shared" si="4"/>
        <v>18</v>
      </c>
      <c r="L68" s="6">
        <f t="shared" si="5"/>
        <v>410</v>
      </c>
    </row>
    <row r="69" spans="1:12" x14ac:dyDescent="0.3">
      <c r="A69" s="13" t="str">
        <f>'스테이지별 골드'!C23</f>
        <v>5-3</v>
      </c>
      <c r="B69" s="23" t="s">
        <v>66</v>
      </c>
      <c r="C69" s="5">
        <f>'스테이지별 골드'!K23</f>
        <v>640</v>
      </c>
      <c r="D69" s="6">
        <f>IF(C69&gt;=E$3*설정!$B$10,E$3,IF(C69&gt;=F$3*설정!$B$10,F$3,IF(C69&gt;=G$3*설정!$B$10,G$3,IF(C69&gt;=H$3*설정!$B$10,H$3,IF(C69&gt;=I$3*설정!$B$10,I$3,J$3)))))</f>
        <v>100</v>
      </c>
      <c r="E69" s="6">
        <f t="shared" ref="E69:E102" si="6">IF(E$3&lt;=$D69,INT($C69/E$3),0)</f>
        <v>0</v>
      </c>
      <c r="F69" s="6">
        <f>IF(F$3&lt;=$D69,INT(($C69-SUMPRODUCT($E69:E69,$E$3:E$3))/F$3),0)</f>
        <v>0</v>
      </c>
      <c r="G69" s="6">
        <f>IF(G$3&lt;=$D69,INT(($C69-SUMPRODUCT($E69:F69,$E$3:F$3))/G$3),0)</f>
        <v>6</v>
      </c>
      <c r="H69" s="6">
        <f>IF(H$3&lt;=$D69,INT(($C69-SUMPRODUCT($E69:G69,$E$3:G$3))/H$3),0)</f>
        <v>1</v>
      </c>
      <c r="I69" s="6">
        <f>IF(I$3&lt;=$D69,INT(($C69-SUMPRODUCT($E69:H69,$E$3:H$3))/I$3),0)</f>
        <v>3</v>
      </c>
      <c r="J69" s="6">
        <f>INT(($C69-SUMPRODUCT($E69:I69,$E$3:I$3))/J$3)</f>
        <v>0</v>
      </c>
      <c r="K69" s="4">
        <f t="shared" ref="K69:K100" si="7">SUM(E69:J69)</f>
        <v>10</v>
      </c>
      <c r="L69" s="6">
        <f t="shared" ref="L69:L102" si="8">SUMPRODUCT(E69:J69,$E$3:$J$3)</f>
        <v>640</v>
      </c>
    </row>
    <row r="70" spans="1:12" x14ac:dyDescent="0.3">
      <c r="A70" s="13" t="str">
        <f>'스테이지별 골드'!C23</f>
        <v>5-3</v>
      </c>
      <c r="B70" s="23" t="s">
        <v>68</v>
      </c>
      <c r="C70" s="5">
        <f>'스테이지별 골드'!P23</f>
        <v>1845</v>
      </c>
      <c r="D70" s="6">
        <f>IF(C70&gt;=E$3*설정!$B$10,E$3,IF(C70&gt;=F$3*설정!$B$10,F$3,IF(C70&gt;=G$3*설정!$B$10,G$3,IF(C70&gt;=H$3*설정!$B$10,H$3,IF(C70&gt;=I$3*설정!$B$10,I$3,J$3)))))</f>
        <v>100</v>
      </c>
      <c r="E70" s="6">
        <f t="shared" si="6"/>
        <v>0</v>
      </c>
      <c r="F70" s="6">
        <f>IF(F$3&lt;=$D70,INT(($C70-SUMPRODUCT($E70:E70,$E$3:E$3))/F$3),0)</f>
        <v>0</v>
      </c>
      <c r="G70" s="6">
        <f>IF(G$3&lt;=$D70,INT(($C70-SUMPRODUCT($E70:F70,$E$3:F$3))/G$3),0)</f>
        <v>18</v>
      </c>
      <c r="H70" s="6">
        <f>IF(H$3&lt;=$D70,INT(($C70-SUMPRODUCT($E70:G70,$E$3:G$3))/H$3),0)</f>
        <v>1</v>
      </c>
      <c r="I70" s="6">
        <f>IF(I$3&lt;=$D70,INT(($C70-SUMPRODUCT($E70:H70,$E$3:H$3))/I$3),0)</f>
        <v>4</v>
      </c>
      <c r="J70" s="6">
        <f>INT(($C70-SUMPRODUCT($E70:I70,$E$3:I$3))/J$3)</f>
        <v>0</v>
      </c>
      <c r="K70" s="4">
        <f t="shared" si="7"/>
        <v>23</v>
      </c>
      <c r="L70" s="6">
        <f t="shared" si="8"/>
        <v>1845</v>
      </c>
    </row>
    <row r="71" spans="1:12" x14ac:dyDescent="0.3">
      <c r="A71" s="28" t="str">
        <f>'스테이지별 골드'!C24</f>
        <v>5-4</v>
      </c>
      <c r="B71" s="24" t="s">
        <v>65</v>
      </c>
      <c r="C71" s="29">
        <f>'스테이지별 골드'!J24</f>
        <v>510</v>
      </c>
      <c r="D71" s="30">
        <f>IF(C71&gt;=E$3*설정!$B$10,E$3,IF(C71&gt;=F$3*설정!$B$10,F$3,IF(C71&gt;=G$3*설정!$B$10,G$3,IF(C71&gt;=H$3*설정!$B$10,H$3,IF(C71&gt;=I$3*설정!$B$10,I$3,J$3)))))</f>
        <v>100</v>
      </c>
      <c r="E71" s="30">
        <f t="shared" si="6"/>
        <v>0</v>
      </c>
      <c r="F71" s="30">
        <f>IF(F$3&lt;=$D71,INT(($C71-SUMPRODUCT($E71:E71,$E$3:E$3))/F$3),0)</f>
        <v>0</v>
      </c>
      <c r="G71" s="30">
        <f>IF(G$3&lt;=$D71,INT(($C71-SUMPRODUCT($E71:F71,$E$3:F$3))/G$3),0)</f>
        <v>5</v>
      </c>
      <c r="H71" s="30">
        <f>IF(H$3&lt;=$D71,INT(($C71-SUMPRODUCT($E71:G71,$E$3:G$3))/H$3),0)</f>
        <v>0</v>
      </c>
      <c r="I71" s="30">
        <f>IF(I$3&lt;=$D71,INT(($C71-SUMPRODUCT($E71:H71,$E$3:H$3))/I$3),0)</f>
        <v>2</v>
      </c>
      <c r="J71" s="30">
        <f>INT(($C71-SUMPRODUCT($E71:I71,$E$3:I$3))/J$3)</f>
        <v>0</v>
      </c>
      <c r="K71" s="25">
        <f t="shared" si="7"/>
        <v>7</v>
      </c>
      <c r="L71" s="30">
        <f t="shared" si="8"/>
        <v>510</v>
      </c>
    </row>
    <row r="72" spans="1:12" x14ac:dyDescent="0.3">
      <c r="A72" s="28" t="str">
        <f>'스테이지별 골드'!C24</f>
        <v>5-4</v>
      </c>
      <c r="B72" s="24" t="s">
        <v>66</v>
      </c>
      <c r="C72" s="29">
        <f>'스테이지별 골드'!K24</f>
        <v>796</v>
      </c>
      <c r="D72" s="30">
        <f>IF(C72&gt;=E$3*설정!$B$10,E$3,IF(C72&gt;=F$3*설정!$B$10,F$3,IF(C72&gt;=G$3*설정!$B$10,G$3,IF(C72&gt;=H$3*설정!$B$10,H$3,IF(C72&gt;=I$3*설정!$B$10,I$3,J$3)))))</f>
        <v>100</v>
      </c>
      <c r="E72" s="30">
        <f t="shared" si="6"/>
        <v>0</v>
      </c>
      <c r="F72" s="30">
        <f>IF(F$3&lt;=$D72,INT(($C72-SUMPRODUCT($E72:E72,$E$3:E$3))/F$3),0)</f>
        <v>0</v>
      </c>
      <c r="G72" s="30">
        <f>IF(G$3&lt;=$D72,INT(($C72-SUMPRODUCT($E72:F72,$E$3:F$3))/G$3),0)</f>
        <v>7</v>
      </c>
      <c r="H72" s="30">
        <f>IF(H$3&lt;=$D72,INT(($C72-SUMPRODUCT($E72:G72,$E$3:G$3))/H$3),0)</f>
        <v>3</v>
      </c>
      <c r="I72" s="30">
        <f>IF(I$3&lt;=$D72,INT(($C72-SUMPRODUCT($E72:H72,$E$3:H$3))/I$3),0)</f>
        <v>4</v>
      </c>
      <c r="J72" s="30">
        <f>INT(($C72-SUMPRODUCT($E72:I72,$E$3:I$3))/J$3)</f>
        <v>1</v>
      </c>
      <c r="K72" s="25">
        <f t="shared" si="7"/>
        <v>15</v>
      </c>
      <c r="L72" s="30">
        <f t="shared" si="8"/>
        <v>796</v>
      </c>
    </row>
    <row r="73" spans="1:12" x14ac:dyDescent="0.3">
      <c r="A73" s="28" t="str">
        <f>'스테이지별 골드'!C24</f>
        <v>5-4</v>
      </c>
      <c r="B73" s="24" t="s">
        <v>67</v>
      </c>
      <c r="C73" s="29">
        <f>'스테이지별 골드'!L24</f>
        <v>3825</v>
      </c>
      <c r="D73" s="30">
        <f>IF(C73&gt;=E$3*설정!$B$10,E$3,IF(C73&gt;=F$3*설정!$B$10,F$3,IF(C73&gt;=G$3*설정!$B$10,G$3,IF(C73&gt;=H$3*설정!$B$10,H$3,IF(C73&gt;=I$3*설정!$B$10,I$3,J$3)))))</f>
        <v>500</v>
      </c>
      <c r="E73" s="30">
        <f t="shared" si="6"/>
        <v>0</v>
      </c>
      <c r="F73" s="30">
        <f>IF(F$3&lt;=$D73,INT(($C73-SUMPRODUCT($E73:E73,$E$3:E$3))/F$3),0)</f>
        <v>7</v>
      </c>
      <c r="G73" s="30">
        <f>IF(G$3&lt;=$D73,INT(($C73-SUMPRODUCT($E73:F73,$E$3:F$3))/G$3),0)</f>
        <v>3</v>
      </c>
      <c r="H73" s="30">
        <f>IF(H$3&lt;=$D73,INT(($C73-SUMPRODUCT($E73:G73,$E$3:G$3))/H$3),0)</f>
        <v>1</v>
      </c>
      <c r="I73" s="30">
        <f>IF(I$3&lt;=$D73,INT(($C73-SUMPRODUCT($E73:H73,$E$3:H$3))/I$3),0)</f>
        <v>0</v>
      </c>
      <c r="J73" s="30">
        <f>INT(($C73-SUMPRODUCT($E73:I73,$E$3:I$3))/J$3)</f>
        <v>0</v>
      </c>
      <c r="K73" s="25">
        <f t="shared" si="7"/>
        <v>11</v>
      </c>
      <c r="L73" s="30">
        <f t="shared" si="8"/>
        <v>3825</v>
      </c>
    </row>
    <row r="74" spans="1:12" x14ac:dyDescent="0.3">
      <c r="A74" s="28" t="str">
        <f>'스테이지별 골드'!C24</f>
        <v>5-4</v>
      </c>
      <c r="B74" s="24" t="s">
        <v>68</v>
      </c>
      <c r="C74" s="29">
        <f>'스테이지별 골드'!P24</f>
        <v>2295</v>
      </c>
      <c r="D74" s="30">
        <f>IF(C74&gt;=E$3*설정!$B$10,E$3,IF(C74&gt;=F$3*설정!$B$10,F$3,IF(C74&gt;=G$3*설정!$B$10,G$3,IF(C74&gt;=H$3*설정!$B$10,H$3,IF(C74&gt;=I$3*설정!$B$10,I$3,J$3)))))</f>
        <v>100</v>
      </c>
      <c r="E74" s="30">
        <f t="shared" si="6"/>
        <v>0</v>
      </c>
      <c r="F74" s="30">
        <f>IF(F$3&lt;=$D74,INT(($C74-SUMPRODUCT($E74:E74,$E$3:E$3))/F$3),0)</f>
        <v>0</v>
      </c>
      <c r="G74" s="30">
        <f>IF(G$3&lt;=$D74,INT(($C74-SUMPRODUCT($E74:F74,$E$3:F$3))/G$3),0)</f>
        <v>22</v>
      </c>
      <c r="H74" s="30">
        <f>IF(H$3&lt;=$D74,INT(($C74-SUMPRODUCT($E74:G74,$E$3:G$3))/H$3),0)</f>
        <v>3</v>
      </c>
      <c r="I74" s="30">
        <f>IF(I$3&lt;=$D74,INT(($C74-SUMPRODUCT($E74:H74,$E$3:H$3))/I$3),0)</f>
        <v>4</v>
      </c>
      <c r="J74" s="30">
        <f>INT(($C74-SUMPRODUCT($E74:I74,$E$3:I$3))/J$3)</f>
        <v>0</v>
      </c>
      <c r="K74" s="25">
        <f t="shared" si="7"/>
        <v>29</v>
      </c>
      <c r="L74" s="30">
        <f t="shared" si="8"/>
        <v>2295</v>
      </c>
    </row>
    <row r="75" spans="1:12" x14ac:dyDescent="0.3">
      <c r="A75" s="13" t="str">
        <f>'스테이지별 골드'!C25</f>
        <v>6-1</v>
      </c>
      <c r="B75" s="23" t="s">
        <v>65</v>
      </c>
      <c r="C75" s="5">
        <f>'스테이지별 골드'!J25</f>
        <v>620</v>
      </c>
      <c r="D75" s="6">
        <f>IF(C75&gt;=E$3*설정!$B$10,E$3,IF(C75&gt;=F$3*설정!$B$10,F$3,IF(C75&gt;=G$3*설정!$B$10,G$3,IF(C75&gt;=H$3*설정!$B$10,H$3,IF(C75&gt;=I$3*설정!$B$10,I$3,J$3)))))</f>
        <v>100</v>
      </c>
      <c r="E75" s="6">
        <f t="shared" si="6"/>
        <v>0</v>
      </c>
      <c r="F75" s="6">
        <f>IF(F$3&lt;=$D75,INT(($C75-SUMPRODUCT($E75:E75,$E$3:E$3))/F$3),0)</f>
        <v>0</v>
      </c>
      <c r="G75" s="6">
        <f>IF(G$3&lt;=$D75,INT(($C75-SUMPRODUCT($E75:F75,$E$3:F$3))/G$3),0)</f>
        <v>6</v>
      </c>
      <c r="H75" s="6">
        <f>IF(H$3&lt;=$D75,INT(($C75-SUMPRODUCT($E75:G75,$E$3:G$3))/H$3),0)</f>
        <v>0</v>
      </c>
      <c r="I75" s="6">
        <f>IF(I$3&lt;=$D75,INT(($C75-SUMPRODUCT($E75:H75,$E$3:H$3))/I$3),0)</f>
        <v>4</v>
      </c>
      <c r="J75" s="6">
        <f>INT(($C75-SUMPRODUCT($E75:I75,$E$3:I$3))/J$3)</f>
        <v>0</v>
      </c>
      <c r="K75" s="4">
        <f t="shared" si="7"/>
        <v>10</v>
      </c>
      <c r="L75" s="6">
        <f t="shared" si="8"/>
        <v>620</v>
      </c>
    </row>
    <row r="76" spans="1:12" x14ac:dyDescent="0.3">
      <c r="A76" s="13" t="str">
        <f>'스테이지별 골드'!C25</f>
        <v>6-1</v>
      </c>
      <c r="B76" s="23" t="s">
        <v>66</v>
      </c>
      <c r="C76" s="5">
        <f>'스테이지별 골드'!K25</f>
        <v>967</v>
      </c>
      <c r="D76" s="6">
        <f>IF(C76&gt;=E$3*설정!$B$10,E$3,IF(C76&gt;=F$3*설정!$B$10,F$3,IF(C76&gt;=G$3*설정!$B$10,G$3,IF(C76&gt;=H$3*설정!$B$10,H$3,IF(C76&gt;=I$3*설정!$B$10,I$3,J$3)))))</f>
        <v>100</v>
      </c>
      <c r="E76" s="6">
        <f t="shared" si="6"/>
        <v>0</v>
      </c>
      <c r="F76" s="6">
        <f>IF(F$3&lt;=$D76,INT(($C76-SUMPRODUCT($E76:E76,$E$3:E$3))/F$3),0)</f>
        <v>0</v>
      </c>
      <c r="G76" s="6">
        <f>IF(G$3&lt;=$D76,INT(($C76-SUMPRODUCT($E76:F76,$E$3:F$3))/G$3),0)</f>
        <v>9</v>
      </c>
      <c r="H76" s="6">
        <f>IF(H$3&lt;=$D76,INT(($C76-SUMPRODUCT($E76:G76,$E$3:G$3))/H$3),0)</f>
        <v>2</v>
      </c>
      <c r="I76" s="6">
        <f>IF(I$3&lt;=$D76,INT(($C76-SUMPRODUCT($E76:H76,$E$3:H$3))/I$3),0)</f>
        <v>3</v>
      </c>
      <c r="J76" s="6">
        <f>INT(($C76-SUMPRODUCT($E76:I76,$E$3:I$3))/J$3)</f>
        <v>2</v>
      </c>
      <c r="K76" s="4">
        <f t="shared" si="7"/>
        <v>16</v>
      </c>
      <c r="L76" s="6">
        <f t="shared" si="8"/>
        <v>967</v>
      </c>
    </row>
    <row r="77" spans="1:12" x14ac:dyDescent="0.3">
      <c r="A77" s="13" t="str">
        <f>'스테이지별 골드'!C25</f>
        <v>6-1</v>
      </c>
      <c r="B77" s="23" t="s">
        <v>68</v>
      </c>
      <c r="C77" s="5">
        <f>'스테이지별 골드'!P25</f>
        <v>2790</v>
      </c>
      <c r="D77" s="6">
        <f>IF(C77&gt;=E$3*설정!$B$10,E$3,IF(C77&gt;=F$3*설정!$B$10,F$3,IF(C77&gt;=G$3*설정!$B$10,G$3,IF(C77&gt;=H$3*설정!$B$10,H$3,IF(C77&gt;=I$3*설정!$B$10,I$3,J$3)))))</f>
        <v>500</v>
      </c>
      <c r="E77" s="6">
        <f t="shared" si="6"/>
        <v>0</v>
      </c>
      <c r="F77" s="6">
        <f>IF(F$3&lt;=$D77,INT(($C77-SUMPRODUCT($E77:E77,$E$3:E$3))/F$3),0)</f>
        <v>5</v>
      </c>
      <c r="G77" s="6">
        <f>IF(G$3&lt;=$D77,INT(($C77-SUMPRODUCT($E77:F77,$E$3:F$3))/G$3),0)</f>
        <v>2</v>
      </c>
      <c r="H77" s="6">
        <f>IF(H$3&lt;=$D77,INT(($C77-SUMPRODUCT($E77:G77,$E$3:G$3))/H$3),0)</f>
        <v>3</v>
      </c>
      <c r="I77" s="6">
        <f>IF(I$3&lt;=$D77,INT(($C77-SUMPRODUCT($E77:H77,$E$3:H$3))/I$3),0)</f>
        <v>3</v>
      </c>
      <c r="J77" s="6">
        <f>INT(($C77-SUMPRODUCT($E77:I77,$E$3:I$3))/J$3)</f>
        <v>0</v>
      </c>
      <c r="K77" s="4">
        <f t="shared" si="7"/>
        <v>13</v>
      </c>
      <c r="L77" s="6">
        <f t="shared" si="8"/>
        <v>2790</v>
      </c>
    </row>
    <row r="78" spans="1:12" x14ac:dyDescent="0.3">
      <c r="A78" s="28" t="str">
        <f>'스테이지별 골드'!C26</f>
        <v>6-2</v>
      </c>
      <c r="B78" s="24" t="s">
        <v>65</v>
      </c>
      <c r="C78" s="29">
        <f>'스테이지별 골드'!J26</f>
        <v>770</v>
      </c>
      <c r="D78" s="30">
        <f>IF(C78&gt;=E$3*설정!$B$10,E$3,IF(C78&gt;=F$3*설정!$B$10,F$3,IF(C78&gt;=G$3*설정!$B$10,G$3,IF(C78&gt;=H$3*설정!$B$10,H$3,IF(C78&gt;=I$3*설정!$B$10,I$3,J$3)))))</f>
        <v>100</v>
      </c>
      <c r="E78" s="30">
        <f t="shared" si="6"/>
        <v>0</v>
      </c>
      <c r="F78" s="30">
        <f>IF(F$3&lt;=$D78,INT(($C78-SUMPRODUCT($E78:E78,$E$3:E$3))/F$3),0)</f>
        <v>0</v>
      </c>
      <c r="G78" s="30">
        <f>IF(G$3&lt;=$D78,INT(($C78-SUMPRODUCT($E78:F78,$E$3:F$3))/G$3),0)</f>
        <v>7</v>
      </c>
      <c r="H78" s="30">
        <f>IF(H$3&lt;=$D78,INT(($C78-SUMPRODUCT($E78:G78,$E$3:G$3))/H$3),0)</f>
        <v>2</v>
      </c>
      <c r="I78" s="30">
        <f>IF(I$3&lt;=$D78,INT(($C78-SUMPRODUCT($E78:H78,$E$3:H$3))/I$3),0)</f>
        <v>4</v>
      </c>
      <c r="J78" s="30">
        <f>INT(($C78-SUMPRODUCT($E78:I78,$E$3:I$3))/J$3)</f>
        <v>0</v>
      </c>
      <c r="K78" s="25">
        <f t="shared" si="7"/>
        <v>13</v>
      </c>
      <c r="L78" s="30">
        <f t="shared" si="8"/>
        <v>770</v>
      </c>
    </row>
    <row r="79" spans="1:12" x14ac:dyDescent="0.3">
      <c r="A79" s="28" t="str">
        <f>'스테이지별 골드'!C26</f>
        <v>6-2</v>
      </c>
      <c r="B79" s="24" t="s">
        <v>66</v>
      </c>
      <c r="C79" s="29">
        <f>'스테이지별 골드'!K26</f>
        <v>1201</v>
      </c>
      <c r="D79" s="30">
        <f>IF(C79&gt;=E$3*설정!$B$10,E$3,IF(C79&gt;=F$3*설정!$B$10,F$3,IF(C79&gt;=G$3*설정!$B$10,G$3,IF(C79&gt;=H$3*설정!$B$10,H$3,IF(C79&gt;=I$3*설정!$B$10,I$3,J$3)))))</f>
        <v>100</v>
      </c>
      <c r="E79" s="30">
        <f t="shared" si="6"/>
        <v>0</v>
      </c>
      <c r="F79" s="30">
        <f>IF(F$3&lt;=$D79,INT(($C79-SUMPRODUCT($E79:E79,$E$3:E$3))/F$3),0)</f>
        <v>0</v>
      </c>
      <c r="G79" s="30">
        <f>IF(G$3&lt;=$D79,INT(($C79-SUMPRODUCT($E79:F79,$E$3:F$3))/G$3),0)</f>
        <v>12</v>
      </c>
      <c r="H79" s="30">
        <f>IF(H$3&lt;=$D79,INT(($C79-SUMPRODUCT($E79:G79,$E$3:G$3))/H$3),0)</f>
        <v>0</v>
      </c>
      <c r="I79" s="30">
        <f>IF(I$3&lt;=$D79,INT(($C79-SUMPRODUCT($E79:H79,$E$3:H$3))/I$3),0)</f>
        <v>0</v>
      </c>
      <c r="J79" s="30">
        <f>INT(($C79-SUMPRODUCT($E79:I79,$E$3:I$3))/J$3)</f>
        <v>1</v>
      </c>
      <c r="K79" s="25">
        <f t="shared" si="7"/>
        <v>13</v>
      </c>
      <c r="L79" s="30">
        <f t="shared" si="8"/>
        <v>1201</v>
      </c>
    </row>
    <row r="80" spans="1:12" x14ac:dyDescent="0.3">
      <c r="A80" s="28" t="str">
        <f>'스테이지별 골드'!C26</f>
        <v>6-2</v>
      </c>
      <c r="B80" s="24" t="s">
        <v>67</v>
      </c>
      <c r="C80" s="29">
        <f>'스테이지별 골드'!L26</f>
        <v>5775</v>
      </c>
      <c r="D80" s="30">
        <f>IF(C80&gt;=E$3*설정!$B$10,E$3,IF(C80&gt;=F$3*설정!$B$10,F$3,IF(C80&gt;=G$3*설정!$B$10,G$3,IF(C80&gt;=H$3*설정!$B$10,H$3,IF(C80&gt;=I$3*설정!$B$10,I$3,J$3)))))</f>
        <v>1000</v>
      </c>
      <c r="E80" s="30">
        <f t="shared" si="6"/>
        <v>5</v>
      </c>
      <c r="F80" s="30">
        <f>IF(F$3&lt;=$D80,INT(($C80-SUMPRODUCT($E80:E80,$E$3:E$3))/F$3),0)</f>
        <v>1</v>
      </c>
      <c r="G80" s="30">
        <f>IF(G$3&lt;=$D80,INT(($C80-SUMPRODUCT($E80:F80,$E$3:F$3))/G$3),0)</f>
        <v>2</v>
      </c>
      <c r="H80" s="30">
        <f>IF(H$3&lt;=$D80,INT(($C80-SUMPRODUCT($E80:G80,$E$3:G$3))/H$3),0)</f>
        <v>3</v>
      </c>
      <c r="I80" s="30">
        <f>IF(I$3&lt;=$D80,INT(($C80-SUMPRODUCT($E80:H80,$E$3:H$3))/I$3),0)</f>
        <v>0</v>
      </c>
      <c r="J80" s="30">
        <f>INT(($C80-SUMPRODUCT($E80:I80,$E$3:I$3))/J$3)</f>
        <v>0</v>
      </c>
      <c r="K80" s="25">
        <f t="shared" si="7"/>
        <v>11</v>
      </c>
      <c r="L80" s="30">
        <f t="shared" si="8"/>
        <v>5775</v>
      </c>
    </row>
    <row r="81" spans="1:12" x14ac:dyDescent="0.3">
      <c r="A81" s="28" t="str">
        <f>'스테이지별 골드'!C26</f>
        <v>6-2</v>
      </c>
      <c r="B81" s="24" t="s">
        <v>68</v>
      </c>
      <c r="C81" s="29">
        <f>'스테이지별 골드'!P26</f>
        <v>3465</v>
      </c>
      <c r="D81" s="30">
        <f>IF(C81&gt;=E$3*설정!$B$10,E$3,IF(C81&gt;=F$3*설정!$B$10,F$3,IF(C81&gt;=G$3*설정!$B$10,G$3,IF(C81&gt;=H$3*설정!$B$10,H$3,IF(C81&gt;=I$3*설정!$B$10,I$3,J$3)))))</f>
        <v>500</v>
      </c>
      <c r="E81" s="30">
        <f t="shared" si="6"/>
        <v>0</v>
      </c>
      <c r="F81" s="30">
        <f>IF(F$3&lt;=$D81,INT(($C81-SUMPRODUCT($E81:E81,$E$3:E$3))/F$3),0)</f>
        <v>6</v>
      </c>
      <c r="G81" s="30">
        <f>IF(G$3&lt;=$D81,INT(($C81-SUMPRODUCT($E81:F81,$E$3:F$3))/G$3),0)</f>
        <v>4</v>
      </c>
      <c r="H81" s="30">
        <f>IF(H$3&lt;=$D81,INT(($C81-SUMPRODUCT($E81:G81,$E$3:G$3))/H$3),0)</f>
        <v>2</v>
      </c>
      <c r="I81" s="30">
        <f>IF(I$3&lt;=$D81,INT(($C81-SUMPRODUCT($E81:H81,$E$3:H$3))/I$3),0)</f>
        <v>3</v>
      </c>
      <c r="J81" s="30">
        <f>INT(($C81-SUMPRODUCT($E81:I81,$E$3:I$3))/J$3)</f>
        <v>0</v>
      </c>
      <c r="K81" s="25">
        <f t="shared" si="7"/>
        <v>15</v>
      </c>
      <c r="L81" s="30">
        <f t="shared" si="8"/>
        <v>3465</v>
      </c>
    </row>
    <row r="82" spans="1:12" x14ac:dyDescent="0.3">
      <c r="A82" s="13" t="str">
        <f>'스테이지별 골드'!C27</f>
        <v>6-3</v>
      </c>
      <c r="B82" s="23" t="s">
        <v>65</v>
      </c>
      <c r="C82" s="5">
        <f>'스테이지별 골드'!J27</f>
        <v>930</v>
      </c>
      <c r="D82" s="6">
        <f>IF(C82&gt;=E$3*설정!$B$10,E$3,IF(C82&gt;=F$3*설정!$B$10,F$3,IF(C82&gt;=G$3*설정!$B$10,G$3,IF(C82&gt;=H$3*설정!$B$10,H$3,IF(C82&gt;=I$3*설정!$B$10,I$3,J$3)))))</f>
        <v>100</v>
      </c>
      <c r="E82" s="6">
        <f t="shared" si="6"/>
        <v>0</v>
      </c>
      <c r="F82" s="6">
        <f>IF(F$3&lt;=$D82,INT(($C82-SUMPRODUCT($E82:E82,$E$3:E$3))/F$3),0)</f>
        <v>0</v>
      </c>
      <c r="G82" s="6">
        <f>IF(G$3&lt;=$D82,INT(($C82-SUMPRODUCT($E82:F82,$E$3:F$3))/G$3),0)</f>
        <v>9</v>
      </c>
      <c r="H82" s="6">
        <f>IF(H$3&lt;=$D82,INT(($C82-SUMPRODUCT($E82:G82,$E$3:G$3))/H$3),0)</f>
        <v>1</v>
      </c>
      <c r="I82" s="6">
        <f>IF(I$3&lt;=$D82,INT(($C82-SUMPRODUCT($E82:H82,$E$3:H$3))/I$3),0)</f>
        <v>1</v>
      </c>
      <c r="J82" s="6">
        <f>INT(($C82-SUMPRODUCT($E82:I82,$E$3:I$3))/J$3)</f>
        <v>0</v>
      </c>
      <c r="K82" s="4">
        <f t="shared" si="7"/>
        <v>11</v>
      </c>
      <c r="L82" s="6">
        <f t="shared" si="8"/>
        <v>930</v>
      </c>
    </row>
    <row r="83" spans="1:12" x14ac:dyDescent="0.3">
      <c r="A83" s="13" t="str">
        <f>'스테이지별 골드'!C27</f>
        <v>6-3</v>
      </c>
      <c r="B83" s="23" t="s">
        <v>66</v>
      </c>
      <c r="C83" s="5">
        <f>'스테이지별 골드'!K27</f>
        <v>1451</v>
      </c>
      <c r="D83" s="6">
        <f>IF(C83&gt;=E$3*설정!$B$10,E$3,IF(C83&gt;=F$3*설정!$B$10,F$3,IF(C83&gt;=G$3*설정!$B$10,G$3,IF(C83&gt;=H$3*설정!$B$10,H$3,IF(C83&gt;=I$3*설정!$B$10,I$3,J$3)))))</f>
        <v>100</v>
      </c>
      <c r="E83" s="6">
        <f t="shared" si="6"/>
        <v>0</v>
      </c>
      <c r="F83" s="6">
        <f>IF(F$3&lt;=$D83,INT(($C83-SUMPRODUCT($E83:E83,$E$3:E$3))/F$3),0)</f>
        <v>0</v>
      </c>
      <c r="G83" s="6">
        <f>IF(G$3&lt;=$D83,INT(($C83-SUMPRODUCT($E83:F83,$E$3:F$3))/G$3),0)</f>
        <v>14</v>
      </c>
      <c r="H83" s="6">
        <f>IF(H$3&lt;=$D83,INT(($C83-SUMPRODUCT($E83:G83,$E$3:G$3))/H$3),0)</f>
        <v>2</v>
      </c>
      <c r="I83" s="6">
        <f>IF(I$3&lt;=$D83,INT(($C83-SUMPRODUCT($E83:H83,$E$3:H$3))/I$3),0)</f>
        <v>0</v>
      </c>
      <c r="J83" s="6">
        <f>INT(($C83-SUMPRODUCT($E83:I83,$E$3:I$3))/J$3)</f>
        <v>1</v>
      </c>
      <c r="K83" s="4">
        <f t="shared" si="7"/>
        <v>17</v>
      </c>
      <c r="L83" s="6">
        <f t="shared" si="8"/>
        <v>1451</v>
      </c>
    </row>
    <row r="84" spans="1:12" x14ac:dyDescent="0.3">
      <c r="A84" s="13" t="str">
        <f>'스테이지별 골드'!C27</f>
        <v>6-3</v>
      </c>
      <c r="B84" s="23" t="s">
        <v>68</v>
      </c>
      <c r="C84" s="5">
        <f>'스테이지별 골드'!P27</f>
        <v>4185</v>
      </c>
      <c r="D84" s="6">
        <f>IF(C84&gt;=E$3*설정!$B$10,E$3,IF(C84&gt;=F$3*설정!$B$10,F$3,IF(C84&gt;=G$3*설정!$B$10,G$3,IF(C84&gt;=H$3*설정!$B$10,H$3,IF(C84&gt;=I$3*설정!$B$10,I$3,J$3)))))</f>
        <v>500</v>
      </c>
      <c r="E84" s="6">
        <f t="shared" si="6"/>
        <v>0</v>
      </c>
      <c r="F84" s="6">
        <f>IF(F$3&lt;=$D84,INT(($C84-SUMPRODUCT($E84:E84,$E$3:E$3))/F$3),0)</f>
        <v>8</v>
      </c>
      <c r="G84" s="6">
        <f>IF(G$3&lt;=$D84,INT(($C84-SUMPRODUCT($E84:F84,$E$3:F$3))/G$3),0)</f>
        <v>1</v>
      </c>
      <c r="H84" s="6">
        <f>IF(H$3&lt;=$D84,INT(($C84-SUMPRODUCT($E84:G84,$E$3:G$3))/H$3),0)</f>
        <v>3</v>
      </c>
      <c r="I84" s="6">
        <f>IF(I$3&lt;=$D84,INT(($C84-SUMPRODUCT($E84:H84,$E$3:H$3))/I$3),0)</f>
        <v>2</v>
      </c>
      <c r="J84" s="6">
        <f>INT(($C84-SUMPRODUCT($E84:I84,$E$3:I$3))/J$3)</f>
        <v>0</v>
      </c>
      <c r="K84" s="4">
        <f t="shared" si="7"/>
        <v>14</v>
      </c>
      <c r="L84" s="6">
        <f t="shared" si="8"/>
        <v>4185</v>
      </c>
    </row>
    <row r="85" spans="1:12" x14ac:dyDescent="0.3">
      <c r="A85" s="28" t="str">
        <f>'스테이지별 골드'!C28</f>
        <v>6-4</v>
      </c>
      <c r="B85" s="24" t="s">
        <v>65</v>
      </c>
      <c r="C85" s="29">
        <f>'스테이지별 골드'!J28</f>
        <v>1160</v>
      </c>
      <c r="D85" s="30">
        <f>IF(C85&gt;=E$3*설정!$B$10,E$3,IF(C85&gt;=F$3*설정!$B$10,F$3,IF(C85&gt;=G$3*설정!$B$10,G$3,IF(C85&gt;=H$3*설정!$B$10,H$3,IF(C85&gt;=I$3*설정!$B$10,I$3,J$3)))))</f>
        <v>100</v>
      </c>
      <c r="E85" s="30">
        <f t="shared" si="6"/>
        <v>0</v>
      </c>
      <c r="F85" s="30">
        <f>IF(F$3&lt;=$D85,INT(($C85-SUMPRODUCT($E85:E85,$E$3:E$3))/F$3),0)</f>
        <v>0</v>
      </c>
      <c r="G85" s="30">
        <f>IF(G$3&lt;=$D85,INT(($C85-SUMPRODUCT($E85:F85,$E$3:F$3))/G$3),0)</f>
        <v>11</v>
      </c>
      <c r="H85" s="30">
        <f>IF(H$3&lt;=$D85,INT(($C85-SUMPRODUCT($E85:G85,$E$3:G$3))/H$3),0)</f>
        <v>2</v>
      </c>
      <c r="I85" s="30">
        <f>IF(I$3&lt;=$D85,INT(($C85-SUMPRODUCT($E85:H85,$E$3:H$3))/I$3),0)</f>
        <v>2</v>
      </c>
      <c r="J85" s="30">
        <f>INT(($C85-SUMPRODUCT($E85:I85,$E$3:I$3))/J$3)</f>
        <v>0</v>
      </c>
      <c r="K85" s="25">
        <f t="shared" si="7"/>
        <v>15</v>
      </c>
      <c r="L85" s="30">
        <f t="shared" si="8"/>
        <v>1160</v>
      </c>
    </row>
    <row r="86" spans="1:12" x14ac:dyDescent="0.3">
      <c r="A86" s="28" t="str">
        <f>'스테이지별 골드'!C28</f>
        <v>6-4</v>
      </c>
      <c r="B86" s="24" t="s">
        <v>66</v>
      </c>
      <c r="C86" s="29">
        <f>'스테이지별 골드'!K28</f>
        <v>1810</v>
      </c>
      <c r="D86" s="30">
        <f>IF(C86&gt;=E$3*설정!$B$10,E$3,IF(C86&gt;=F$3*설정!$B$10,F$3,IF(C86&gt;=G$3*설정!$B$10,G$3,IF(C86&gt;=H$3*설정!$B$10,H$3,IF(C86&gt;=I$3*설정!$B$10,I$3,J$3)))))</f>
        <v>100</v>
      </c>
      <c r="E86" s="30">
        <f t="shared" si="6"/>
        <v>0</v>
      </c>
      <c r="F86" s="30">
        <f>IF(F$3&lt;=$D86,INT(($C86-SUMPRODUCT($E86:E86,$E$3:E$3))/F$3),0)</f>
        <v>0</v>
      </c>
      <c r="G86" s="30">
        <f>IF(G$3&lt;=$D86,INT(($C86-SUMPRODUCT($E86:F86,$E$3:F$3))/G$3),0)</f>
        <v>18</v>
      </c>
      <c r="H86" s="30">
        <f>IF(H$3&lt;=$D86,INT(($C86-SUMPRODUCT($E86:G86,$E$3:G$3))/H$3),0)</f>
        <v>0</v>
      </c>
      <c r="I86" s="30">
        <f>IF(I$3&lt;=$D86,INT(($C86-SUMPRODUCT($E86:H86,$E$3:H$3))/I$3),0)</f>
        <v>2</v>
      </c>
      <c r="J86" s="30">
        <f>INT(($C86-SUMPRODUCT($E86:I86,$E$3:I$3))/J$3)</f>
        <v>0</v>
      </c>
      <c r="K86" s="25">
        <f t="shared" si="7"/>
        <v>20</v>
      </c>
      <c r="L86" s="30">
        <f t="shared" si="8"/>
        <v>1810</v>
      </c>
    </row>
    <row r="87" spans="1:12" x14ac:dyDescent="0.3">
      <c r="A87" s="28" t="str">
        <f>'스테이지별 골드'!C28</f>
        <v>6-4</v>
      </c>
      <c r="B87" s="24" t="s">
        <v>67</v>
      </c>
      <c r="C87" s="29">
        <f>'스테이지별 골드'!L28</f>
        <v>8700</v>
      </c>
      <c r="D87" s="30">
        <f>IF(C87&gt;=E$3*설정!$B$10,E$3,IF(C87&gt;=F$3*설정!$B$10,F$3,IF(C87&gt;=G$3*설정!$B$10,G$3,IF(C87&gt;=H$3*설정!$B$10,H$3,IF(C87&gt;=I$3*설정!$B$10,I$3,J$3)))))</f>
        <v>1000</v>
      </c>
      <c r="E87" s="30">
        <f t="shared" si="6"/>
        <v>8</v>
      </c>
      <c r="F87" s="30">
        <f>IF(F$3&lt;=$D87,INT(($C87-SUMPRODUCT($E87:E87,$E$3:E$3))/F$3),0)</f>
        <v>1</v>
      </c>
      <c r="G87" s="30">
        <f>IF(G$3&lt;=$D87,INT(($C87-SUMPRODUCT($E87:F87,$E$3:F$3))/G$3),0)</f>
        <v>2</v>
      </c>
      <c r="H87" s="30">
        <f>IF(H$3&lt;=$D87,INT(($C87-SUMPRODUCT($E87:G87,$E$3:G$3))/H$3),0)</f>
        <v>0</v>
      </c>
      <c r="I87" s="30">
        <f>IF(I$3&lt;=$D87,INT(($C87-SUMPRODUCT($E87:H87,$E$3:H$3))/I$3),0)</f>
        <v>0</v>
      </c>
      <c r="J87" s="30">
        <f>INT(($C87-SUMPRODUCT($E87:I87,$E$3:I$3))/J$3)</f>
        <v>0</v>
      </c>
      <c r="K87" s="25">
        <f t="shared" si="7"/>
        <v>11</v>
      </c>
      <c r="L87" s="30">
        <f t="shared" si="8"/>
        <v>8700</v>
      </c>
    </row>
    <row r="88" spans="1:12" x14ac:dyDescent="0.3">
      <c r="A88" s="28" t="str">
        <f>'스테이지별 골드'!C28</f>
        <v>6-4</v>
      </c>
      <c r="B88" s="24" t="s">
        <v>68</v>
      </c>
      <c r="C88" s="29">
        <f>'스테이지별 골드'!P28</f>
        <v>5220</v>
      </c>
      <c r="D88" s="30">
        <f>IF(C88&gt;=E$3*설정!$B$10,E$3,IF(C88&gt;=F$3*설정!$B$10,F$3,IF(C88&gt;=G$3*설정!$B$10,G$3,IF(C88&gt;=H$3*설정!$B$10,H$3,IF(C88&gt;=I$3*설정!$B$10,I$3,J$3)))))</f>
        <v>1000</v>
      </c>
      <c r="E88" s="30">
        <f t="shared" si="6"/>
        <v>5</v>
      </c>
      <c r="F88" s="30">
        <f>IF(F$3&lt;=$D88,INT(($C88-SUMPRODUCT($E88:E88,$E$3:E$3))/F$3),0)</f>
        <v>0</v>
      </c>
      <c r="G88" s="30">
        <f>IF(G$3&lt;=$D88,INT(($C88-SUMPRODUCT($E88:F88,$E$3:F$3))/G$3),0)</f>
        <v>2</v>
      </c>
      <c r="H88" s="30">
        <f>IF(H$3&lt;=$D88,INT(($C88-SUMPRODUCT($E88:G88,$E$3:G$3))/H$3),0)</f>
        <v>0</v>
      </c>
      <c r="I88" s="30">
        <f>IF(I$3&lt;=$D88,INT(($C88-SUMPRODUCT($E88:H88,$E$3:H$3))/I$3),0)</f>
        <v>4</v>
      </c>
      <c r="J88" s="30">
        <f>INT(($C88-SUMPRODUCT($E88:I88,$E$3:I$3))/J$3)</f>
        <v>0</v>
      </c>
      <c r="K88" s="25">
        <f t="shared" si="7"/>
        <v>11</v>
      </c>
      <c r="L88" s="30">
        <f t="shared" si="8"/>
        <v>5220</v>
      </c>
    </row>
    <row r="89" spans="1:12" x14ac:dyDescent="0.3">
      <c r="A89" s="13" t="str">
        <f>'스테이지별 골드'!C29</f>
        <v>7-1</v>
      </c>
      <c r="B89" s="23" t="s">
        <v>65</v>
      </c>
      <c r="C89" s="5">
        <f>'스테이지별 골드'!J29</f>
        <v>1400</v>
      </c>
      <c r="D89" s="6">
        <f>IF(C89&gt;=E$3*설정!$B$10,E$3,IF(C89&gt;=F$3*설정!$B$10,F$3,IF(C89&gt;=G$3*설정!$B$10,G$3,IF(C89&gt;=H$3*설정!$B$10,H$3,IF(C89&gt;=I$3*설정!$B$10,I$3,J$3)))))</f>
        <v>100</v>
      </c>
      <c r="E89" s="6">
        <f t="shared" si="6"/>
        <v>0</v>
      </c>
      <c r="F89" s="6">
        <f>IF(F$3&lt;=$D89,INT(($C89-SUMPRODUCT($E89:E89,$E$3:E$3))/F$3),0)</f>
        <v>0</v>
      </c>
      <c r="G89" s="6">
        <f>IF(G$3&lt;=$D89,INT(($C89-SUMPRODUCT($E89:F89,$E$3:F$3))/G$3),0)</f>
        <v>14</v>
      </c>
      <c r="H89" s="6">
        <f>IF(H$3&lt;=$D89,INT(($C89-SUMPRODUCT($E89:G89,$E$3:G$3))/H$3),0)</f>
        <v>0</v>
      </c>
      <c r="I89" s="6">
        <f>IF(I$3&lt;=$D89,INT(($C89-SUMPRODUCT($E89:H89,$E$3:H$3))/I$3),0)</f>
        <v>0</v>
      </c>
      <c r="J89" s="6">
        <f>INT(($C89-SUMPRODUCT($E89:I89,$E$3:I$3))/J$3)</f>
        <v>0</v>
      </c>
      <c r="K89" s="4">
        <f t="shared" si="7"/>
        <v>14</v>
      </c>
      <c r="L89" s="6">
        <f t="shared" si="8"/>
        <v>1400</v>
      </c>
    </row>
    <row r="90" spans="1:12" x14ac:dyDescent="0.3">
      <c r="A90" s="13" t="str">
        <f>'스테이지별 골드'!C29</f>
        <v>7-1</v>
      </c>
      <c r="B90" s="23" t="s">
        <v>66</v>
      </c>
      <c r="C90" s="5">
        <f>'스테이지별 골드'!K29</f>
        <v>2184</v>
      </c>
      <c r="D90" s="6">
        <f>IF(C90&gt;=E$3*설정!$B$10,E$3,IF(C90&gt;=F$3*설정!$B$10,F$3,IF(C90&gt;=G$3*설정!$B$10,G$3,IF(C90&gt;=H$3*설정!$B$10,H$3,IF(C90&gt;=I$3*설정!$B$10,I$3,J$3)))))</f>
        <v>100</v>
      </c>
      <c r="E90" s="6">
        <f t="shared" si="6"/>
        <v>0</v>
      </c>
      <c r="F90" s="6">
        <f>IF(F$3&lt;=$D90,INT(($C90-SUMPRODUCT($E90:E90,$E$3:E$3))/F$3),0)</f>
        <v>0</v>
      </c>
      <c r="G90" s="6">
        <f>IF(G$3&lt;=$D90,INT(($C90-SUMPRODUCT($E90:F90,$E$3:F$3))/G$3),0)</f>
        <v>21</v>
      </c>
      <c r="H90" s="6">
        <f>IF(H$3&lt;=$D90,INT(($C90-SUMPRODUCT($E90:G90,$E$3:G$3))/H$3),0)</f>
        <v>3</v>
      </c>
      <c r="I90" s="6">
        <f>IF(I$3&lt;=$D90,INT(($C90-SUMPRODUCT($E90:H90,$E$3:H$3))/I$3),0)</f>
        <v>1</v>
      </c>
      <c r="J90" s="6">
        <f>INT(($C90-SUMPRODUCT($E90:I90,$E$3:I$3))/J$3)</f>
        <v>4</v>
      </c>
      <c r="K90" s="4">
        <f t="shared" si="7"/>
        <v>29</v>
      </c>
      <c r="L90" s="6">
        <f t="shared" si="8"/>
        <v>2184</v>
      </c>
    </row>
    <row r="91" spans="1:12" x14ac:dyDescent="0.3">
      <c r="A91" s="13" t="str">
        <f>'스테이지별 골드'!C29</f>
        <v>7-1</v>
      </c>
      <c r="B91" s="23" t="s">
        <v>68</v>
      </c>
      <c r="C91" s="5">
        <f>'스테이지별 골드'!P29</f>
        <v>6300</v>
      </c>
      <c r="D91" s="6">
        <f>IF(C91&gt;=E$3*설정!$B$10,E$3,IF(C91&gt;=F$3*설정!$B$10,F$3,IF(C91&gt;=G$3*설정!$B$10,G$3,IF(C91&gt;=H$3*설정!$B$10,H$3,IF(C91&gt;=I$3*설정!$B$10,I$3,J$3)))))</f>
        <v>1000</v>
      </c>
      <c r="E91" s="6">
        <f t="shared" si="6"/>
        <v>6</v>
      </c>
      <c r="F91" s="6">
        <f>IF(F$3&lt;=$D91,INT(($C91-SUMPRODUCT($E91:E91,$E$3:E$3))/F$3),0)</f>
        <v>0</v>
      </c>
      <c r="G91" s="6">
        <f>IF(G$3&lt;=$D91,INT(($C91-SUMPRODUCT($E91:F91,$E$3:F$3))/G$3),0)</f>
        <v>3</v>
      </c>
      <c r="H91" s="6">
        <f>IF(H$3&lt;=$D91,INT(($C91-SUMPRODUCT($E91:G91,$E$3:G$3))/H$3),0)</f>
        <v>0</v>
      </c>
      <c r="I91" s="6">
        <f>IF(I$3&lt;=$D91,INT(($C91-SUMPRODUCT($E91:H91,$E$3:H$3))/I$3),0)</f>
        <v>0</v>
      </c>
      <c r="J91" s="6">
        <f>INT(($C91-SUMPRODUCT($E91:I91,$E$3:I$3))/J$3)</f>
        <v>0</v>
      </c>
      <c r="K91" s="4">
        <f t="shared" si="7"/>
        <v>9</v>
      </c>
      <c r="L91" s="6">
        <f t="shared" si="8"/>
        <v>6300</v>
      </c>
    </row>
    <row r="92" spans="1:12" x14ac:dyDescent="0.3">
      <c r="A92" s="28" t="str">
        <f>'스테이지별 골드'!C30</f>
        <v>7-2</v>
      </c>
      <c r="B92" s="24" t="s">
        <v>65</v>
      </c>
      <c r="C92" s="29">
        <f>'스테이지별 골드'!J30</f>
        <v>1750</v>
      </c>
      <c r="D92" s="30">
        <f>IF(C92&gt;=E$3*설정!$B$10,E$3,IF(C92&gt;=F$3*설정!$B$10,F$3,IF(C92&gt;=G$3*설정!$B$10,G$3,IF(C92&gt;=H$3*설정!$B$10,H$3,IF(C92&gt;=I$3*설정!$B$10,I$3,J$3)))))</f>
        <v>100</v>
      </c>
      <c r="E92" s="30">
        <f t="shared" si="6"/>
        <v>0</v>
      </c>
      <c r="F92" s="30">
        <f>IF(F$3&lt;=$D92,INT(($C92-SUMPRODUCT($E92:E92,$E$3:E$3))/F$3),0)</f>
        <v>0</v>
      </c>
      <c r="G92" s="30">
        <f>IF(G$3&lt;=$D92,INT(($C92-SUMPRODUCT($E92:F92,$E$3:F$3))/G$3),0)</f>
        <v>17</v>
      </c>
      <c r="H92" s="30">
        <f>IF(H$3&lt;=$D92,INT(($C92-SUMPRODUCT($E92:G92,$E$3:G$3))/H$3),0)</f>
        <v>2</v>
      </c>
      <c r="I92" s="30">
        <f>IF(I$3&lt;=$D92,INT(($C92-SUMPRODUCT($E92:H92,$E$3:H$3))/I$3),0)</f>
        <v>0</v>
      </c>
      <c r="J92" s="30">
        <f>INT(($C92-SUMPRODUCT($E92:I92,$E$3:I$3))/J$3)</f>
        <v>0</v>
      </c>
      <c r="K92" s="25">
        <f t="shared" si="7"/>
        <v>19</v>
      </c>
      <c r="L92" s="30">
        <f t="shared" si="8"/>
        <v>1750</v>
      </c>
    </row>
    <row r="93" spans="1:12" x14ac:dyDescent="0.3">
      <c r="A93" s="28" t="str">
        <f>'스테이지별 골드'!C30</f>
        <v>7-2</v>
      </c>
      <c r="B93" s="24" t="s">
        <v>66</v>
      </c>
      <c r="C93" s="29">
        <f>'스테이지별 골드'!K30</f>
        <v>2730</v>
      </c>
      <c r="D93" s="30">
        <f>IF(C93&gt;=E$3*설정!$B$10,E$3,IF(C93&gt;=F$3*설정!$B$10,F$3,IF(C93&gt;=G$3*설정!$B$10,G$3,IF(C93&gt;=H$3*설정!$B$10,H$3,IF(C93&gt;=I$3*설정!$B$10,I$3,J$3)))))</f>
        <v>500</v>
      </c>
      <c r="E93" s="30">
        <f t="shared" si="6"/>
        <v>0</v>
      </c>
      <c r="F93" s="30">
        <f>IF(F$3&lt;=$D93,INT(($C93-SUMPRODUCT($E93:E93,$E$3:E$3))/F$3),0)</f>
        <v>5</v>
      </c>
      <c r="G93" s="30">
        <f>IF(G$3&lt;=$D93,INT(($C93-SUMPRODUCT($E93:F93,$E$3:F$3))/G$3),0)</f>
        <v>2</v>
      </c>
      <c r="H93" s="30">
        <f>IF(H$3&lt;=$D93,INT(($C93-SUMPRODUCT($E93:G93,$E$3:G$3))/H$3),0)</f>
        <v>1</v>
      </c>
      <c r="I93" s="30">
        <f>IF(I$3&lt;=$D93,INT(($C93-SUMPRODUCT($E93:H93,$E$3:H$3))/I$3),0)</f>
        <v>1</v>
      </c>
      <c r="J93" s="30">
        <f>INT(($C93-SUMPRODUCT($E93:I93,$E$3:I$3))/J$3)</f>
        <v>0</v>
      </c>
      <c r="K93" s="25">
        <f t="shared" si="7"/>
        <v>9</v>
      </c>
      <c r="L93" s="30">
        <f t="shared" si="8"/>
        <v>2730</v>
      </c>
    </row>
    <row r="94" spans="1:12" x14ac:dyDescent="0.3">
      <c r="A94" s="28" t="str">
        <f>'스테이지별 골드'!C30</f>
        <v>7-2</v>
      </c>
      <c r="B94" s="24" t="s">
        <v>67</v>
      </c>
      <c r="C94" s="29">
        <f>'스테이지별 골드'!L30</f>
        <v>13125</v>
      </c>
      <c r="D94" s="30">
        <f>IF(C94&gt;=E$3*설정!$B$10,E$3,IF(C94&gt;=F$3*설정!$B$10,F$3,IF(C94&gt;=G$3*설정!$B$10,G$3,IF(C94&gt;=H$3*설정!$B$10,H$3,IF(C94&gt;=I$3*설정!$B$10,I$3,J$3)))))</f>
        <v>1000</v>
      </c>
      <c r="E94" s="30">
        <f t="shared" si="6"/>
        <v>13</v>
      </c>
      <c r="F94" s="30">
        <f>IF(F$3&lt;=$D94,INT(($C94-SUMPRODUCT($E94:E94,$E$3:E$3))/F$3),0)</f>
        <v>0</v>
      </c>
      <c r="G94" s="30">
        <f>IF(G$3&lt;=$D94,INT(($C94-SUMPRODUCT($E94:F94,$E$3:F$3))/G$3),0)</f>
        <v>1</v>
      </c>
      <c r="H94" s="30">
        <f>IF(H$3&lt;=$D94,INT(($C94-SUMPRODUCT($E94:G94,$E$3:G$3))/H$3),0)</f>
        <v>1</v>
      </c>
      <c r="I94" s="30">
        <f>IF(I$3&lt;=$D94,INT(($C94-SUMPRODUCT($E94:H94,$E$3:H$3))/I$3),0)</f>
        <v>0</v>
      </c>
      <c r="J94" s="30">
        <f>INT(($C94-SUMPRODUCT($E94:I94,$E$3:I$3))/J$3)</f>
        <v>0</v>
      </c>
      <c r="K94" s="25">
        <f t="shared" si="7"/>
        <v>15</v>
      </c>
      <c r="L94" s="30">
        <f t="shared" si="8"/>
        <v>13125</v>
      </c>
    </row>
    <row r="95" spans="1:12" x14ac:dyDescent="0.3">
      <c r="A95" s="28" t="str">
        <f>'스테이지별 골드'!C30</f>
        <v>7-2</v>
      </c>
      <c r="B95" s="24" t="s">
        <v>68</v>
      </c>
      <c r="C95" s="29">
        <f>'스테이지별 골드'!P30</f>
        <v>7875</v>
      </c>
      <c r="D95" s="30">
        <f>IF(C95&gt;=E$3*설정!$B$10,E$3,IF(C95&gt;=F$3*설정!$B$10,F$3,IF(C95&gt;=G$3*설정!$B$10,G$3,IF(C95&gt;=H$3*설정!$B$10,H$3,IF(C95&gt;=I$3*설정!$B$10,I$3,J$3)))))</f>
        <v>1000</v>
      </c>
      <c r="E95" s="30">
        <f t="shared" si="6"/>
        <v>7</v>
      </c>
      <c r="F95" s="30">
        <f>IF(F$3&lt;=$D95,INT(($C95-SUMPRODUCT($E95:E95,$E$3:E$3))/F$3),0)</f>
        <v>1</v>
      </c>
      <c r="G95" s="30">
        <f>IF(G$3&lt;=$D95,INT(($C95-SUMPRODUCT($E95:F95,$E$3:F$3))/G$3),0)</f>
        <v>3</v>
      </c>
      <c r="H95" s="30">
        <f>IF(H$3&lt;=$D95,INT(($C95-SUMPRODUCT($E95:G95,$E$3:G$3))/H$3),0)</f>
        <v>3</v>
      </c>
      <c r="I95" s="30">
        <f>IF(I$3&lt;=$D95,INT(($C95-SUMPRODUCT($E95:H95,$E$3:H$3))/I$3),0)</f>
        <v>0</v>
      </c>
      <c r="J95" s="30">
        <f>INT(($C95-SUMPRODUCT($E95:I95,$E$3:I$3))/J$3)</f>
        <v>0</v>
      </c>
      <c r="K95" s="25">
        <f t="shared" si="7"/>
        <v>14</v>
      </c>
      <c r="L95" s="30">
        <f t="shared" si="8"/>
        <v>7875</v>
      </c>
    </row>
    <row r="96" spans="1:12" x14ac:dyDescent="0.3">
      <c r="A96" s="13" t="str">
        <f>'스테이지별 골드'!C31</f>
        <v>7-3</v>
      </c>
      <c r="B96" s="23" t="s">
        <v>65</v>
      </c>
      <c r="C96" s="5">
        <f>'스테이지별 골드'!J31</f>
        <v>2100</v>
      </c>
      <c r="D96" s="6">
        <f>IF(C96&gt;=E$3*설정!$B$10,E$3,IF(C96&gt;=F$3*설정!$B$10,F$3,IF(C96&gt;=G$3*설정!$B$10,G$3,IF(C96&gt;=H$3*설정!$B$10,H$3,IF(C96&gt;=I$3*설정!$B$10,I$3,J$3)))))</f>
        <v>100</v>
      </c>
      <c r="E96" s="6">
        <f t="shared" si="6"/>
        <v>0</v>
      </c>
      <c r="F96" s="6">
        <f>IF(F$3&lt;=$D96,INT(($C96-SUMPRODUCT($E96:E96,$E$3:E$3))/F$3),0)</f>
        <v>0</v>
      </c>
      <c r="G96" s="6">
        <f>IF(G$3&lt;=$D96,INT(($C96-SUMPRODUCT($E96:F96,$E$3:F$3))/G$3),0)</f>
        <v>21</v>
      </c>
      <c r="H96" s="6">
        <f>IF(H$3&lt;=$D96,INT(($C96-SUMPRODUCT($E96:G96,$E$3:G$3))/H$3),0)</f>
        <v>0</v>
      </c>
      <c r="I96" s="6">
        <f>IF(I$3&lt;=$D96,INT(($C96-SUMPRODUCT($E96:H96,$E$3:H$3))/I$3),0)</f>
        <v>0</v>
      </c>
      <c r="J96" s="6">
        <f>INT(($C96-SUMPRODUCT($E96:I96,$E$3:I$3))/J$3)</f>
        <v>0</v>
      </c>
      <c r="K96" s="4">
        <f t="shared" si="7"/>
        <v>21</v>
      </c>
      <c r="L96" s="6">
        <f t="shared" si="8"/>
        <v>2100</v>
      </c>
    </row>
    <row r="97" spans="1:12" x14ac:dyDescent="0.3">
      <c r="A97" s="13" t="str">
        <f>'스테이지별 골드'!C31</f>
        <v>7-3</v>
      </c>
      <c r="B97" s="23" t="s">
        <v>66</v>
      </c>
      <c r="C97" s="5">
        <f>'스테이지별 골드'!K31</f>
        <v>3276</v>
      </c>
      <c r="D97" s="6">
        <f>IF(C97&gt;=E$3*설정!$B$10,E$3,IF(C97&gt;=F$3*설정!$B$10,F$3,IF(C97&gt;=G$3*설정!$B$10,G$3,IF(C97&gt;=H$3*설정!$B$10,H$3,IF(C97&gt;=I$3*설정!$B$10,I$3,J$3)))))</f>
        <v>500</v>
      </c>
      <c r="E97" s="6">
        <f t="shared" si="6"/>
        <v>0</v>
      </c>
      <c r="F97" s="6">
        <f>IF(F$3&lt;=$D97,INT(($C97-SUMPRODUCT($E97:E97,$E$3:E$3))/F$3),0)</f>
        <v>6</v>
      </c>
      <c r="G97" s="6">
        <f>IF(G$3&lt;=$D97,INT(($C97-SUMPRODUCT($E97:F97,$E$3:F$3))/G$3),0)</f>
        <v>2</v>
      </c>
      <c r="H97" s="6">
        <f>IF(H$3&lt;=$D97,INT(($C97-SUMPRODUCT($E97:G97,$E$3:G$3))/H$3),0)</f>
        <v>3</v>
      </c>
      <c r="I97" s="6">
        <f>IF(I$3&lt;=$D97,INT(($C97-SUMPRODUCT($E97:H97,$E$3:H$3))/I$3),0)</f>
        <v>0</v>
      </c>
      <c r="J97" s="6">
        <f>INT(($C97-SUMPRODUCT($E97:I97,$E$3:I$3))/J$3)</f>
        <v>1</v>
      </c>
      <c r="K97" s="4">
        <f t="shared" si="7"/>
        <v>12</v>
      </c>
      <c r="L97" s="6">
        <f t="shared" si="8"/>
        <v>3276</v>
      </c>
    </row>
    <row r="98" spans="1:12" x14ac:dyDescent="0.3">
      <c r="A98" s="13" t="str">
        <f>'스테이지별 골드'!C31</f>
        <v>7-3</v>
      </c>
      <c r="B98" s="23" t="s">
        <v>68</v>
      </c>
      <c r="C98" s="5">
        <f>'스테이지별 골드'!P31</f>
        <v>9450</v>
      </c>
      <c r="D98" s="6">
        <f>IF(C98&gt;=E$3*설정!$B$10,E$3,IF(C98&gt;=F$3*설정!$B$10,F$3,IF(C98&gt;=G$3*설정!$B$10,G$3,IF(C98&gt;=H$3*설정!$B$10,H$3,IF(C98&gt;=I$3*설정!$B$10,I$3,J$3)))))</f>
        <v>1000</v>
      </c>
      <c r="E98" s="6">
        <f t="shared" si="6"/>
        <v>9</v>
      </c>
      <c r="F98" s="6">
        <f>IF(F$3&lt;=$D98,INT(($C98-SUMPRODUCT($E98:E98,$E$3:E$3))/F$3),0)</f>
        <v>0</v>
      </c>
      <c r="G98" s="6">
        <f>IF(G$3&lt;=$D98,INT(($C98-SUMPRODUCT($E98:F98,$E$3:F$3))/G$3),0)</f>
        <v>4</v>
      </c>
      <c r="H98" s="6">
        <f>IF(H$3&lt;=$D98,INT(($C98-SUMPRODUCT($E98:G98,$E$3:G$3))/H$3),0)</f>
        <v>2</v>
      </c>
      <c r="I98" s="6">
        <f>IF(I$3&lt;=$D98,INT(($C98-SUMPRODUCT($E98:H98,$E$3:H$3))/I$3),0)</f>
        <v>0</v>
      </c>
      <c r="J98" s="6">
        <f>INT(($C98-SUMPRODUCT($E98:I98,$E$3:I$3))/J$3)</f>
        <v>0</v>
      </c>
      <c r="K98" s="4">
        <f t="shared" si="7"/>
        <v>15</v>
      </c>
      <c r="L98" s="6">
        <f t="shared" si="8"/>
        <v>9450</v>
      </c>
    </row>
    <row r="99" spans="1:12" x14ac:dyDescent="0.3">
      <c r="A99" s="28" t="str">
        <f>'스테이지별 골드'!C32</f>
        <v>7-4</v>
      </c>
      <c r="B99" s="24" t="s">
        <v>65</v>
      </c>
      <c r="C99" s="29">
        <f>'스테이지별 골드'!J32</f>
        <v>2600</v>
      </c>
      <c r="D99" s="30">
        <f>IF(C99&gt;=E$3*설정!$B$10,E$3,IF(C99&gt;=F$3*설정!$B$10,F$3,IF(C99&gt;=G$3*설정!$B$10,G$3,IF(C99&gt;=H$3*설정!$B$10,H$3,IF(C99&gt;=I$3*설정!$B$10,I$3,J$3)))))</f>
        <v>500</v>
      </c>
      <c r="E99" s="30">
        <f t="shared" si="6"/>
        <v>0</v>
      </c>
      <c r="F99" s="30">
        <f>IF(F$3&lt;=$D99,INT(($C99-SUMPRODUCT($E99:E99,$E$3:E$3))/F$3),0)</f>
        <v>5</v>
      </c>
      <c r="G99" s="30">
        <f>IF(G$3&lt;=$D99,INT(($C99-SUMPRODUCT($E99:F99,$E$3:F$3))/G$3),0)</f>
        <v>1</v>
      </c>
      <c r="H99" s="30">
        <f>IF(H$3&lt;=$D99,INT(($C99-SUMPRODUCT($E99:G99,$E$3:G$3))/H$3),0)</f>
        <v>0</v>
      </c>
      <c r="I99" s="30">
        <f>IF(I$3&lt;=$D99,INT(($C99-SUMPRODUCT($E99:H99,$E$3:H$3))/I$3),0)</f>
        <v>0</v>
      </c>
      <c r="J99" s="30">
        <f>INT(($C99-SUMPRODUCT($E99:I99,$E$3:I$3))/J$3)</f>
        <v>0</v>
      </c>
      <c r="K99" s="25">
        <f t="shared" si="7"/>
        <v>6</v>
      </c>
      <c r="L99" s="30">
        <f t="shared" si="8"/>
        <v>2600</v>
      </c>
    </row>
    <row r="100" spans="1:12" x14ac:dyDescent="0.3">
      <c r="A100" s="28" t="str">
        <f>'스테이지별 골드'!C32</f>
        <v>7-4</v>
      </c>
      <c r="B100" s="24" t="s">
        <v>66</v>
      </c>
      <c r="C100" s="29">
        <f>'스테이지별 골드'!K32</f>
        <v>4056</v>
      </c>
      <c r="D100" s="30">
        <f>IF(C100&gt;=E$3*설정!$B$10,E$3,IF(C100&gt;=F$3*설정!$B$10,F$3,IF(C100&gt;=G$3*설정!$B$10,G$3,IF(C100&gt;=H$3*설정!$B$10,H$3,IF(C100&gt;=I$3*설정!$B$10,I$3,J$3)))))</f>
        <v>500</v>
      </c>
      <c r="E100" s="30">
        <f t="shared" si="6"/>
        <v>0</v>
      </c>
      <c r="F100" s="30">
        <f>IF(F$3&lt;=$D100,INT(($C100-SUMPRODUCT($E100:E100,$E$3:E$3))/F$3),0)</f>
        <v>8</v>
      </c>
      <c r="G100" s="30">
        <f>IF(G$3&lt;=$D100,INT(($C100-SUMPRODUCT($E100:F100,$E$3:F$3))/G$3),0)</f>
        <v>0</v>
      </c>
      <c r="H100" s="30">
        <f>IF(H$3&lt;=$D100,INT(($C100-SUMPRODUCT($E100:G100,$E$3:G$3))/H$3),0)</f>
        <v>2</v>
      </c>
      <c r="I100" s="30">
        <f>IF(I$3&lt;=$D100,INT(($C100-SUMPRODUCT($E100:H100,$E$3:H$3))/I$3),0)</f>
        <v>1</v>
      </c>
      <c r="J100" s="30">
        <f>INT(($C100-SUMPRODUCT($E100:I100,$E$3:I$3))/J$3)</f>
        <v>1</v>
      </c>
      <c r="K100" s="25">
        <f t="shared" si="7"/>
        <v>12</v>
      </c>
      <c r="L100" s="30">
        <f t="shared" si="8"/>
        <v>4056</v>
      </c>
    </row>
    <row r="101" spans="1:12" x14ac:dyDescent="0.3">
      <c r="A101" s="28" t="str">
        <f>'스테이지별 골드'!C32</f>
        <v>7-4</v>
      </c>
      <c r="B101" s="24" t="s">
        <v>67</v>
      </c>
      <c r="C101" s="29">
        <f>'스테이지별 골드'!L32</f>
        <v>19500</v>
      </c>
      <c r="D101" s="30">
        <f>IF(C101&gt;=E$3*설정!$B$10,E$3,IF(C101&gt;=F$3*설정!$B$10,F$3,IF(C101&gt;=G$3*설정!$B$10,G$3,IF(C101&gt;=H$3*설정!$B$10,H$3,IF(C101&gt;=I$3*설정!$B$10,I$3,J$3)))))</f>
        <v>1000</v>
      </c>
      <c r="E101" s="30">
        <f t="shared" si="6"/>
        <v>19</v>
      </c>
      <c r="F101" s="30">
        <f>IF(F$3&lt;=$D101,INT(($C101-SUMPRODUCT($E101:E101,$E$3:E$3))/F$3),0)</f>
        <v>1</v>
      </c>
      <c r="G101" s="30">
        <f>IF(G$3&lt;=$D101,INT(($C101-SUMPRODUCT($E101:F101,$E$3:F$3))/G$3),0)</f>
        <v>0</v>
      </c>
      <c r="H101" s="30">
        <f>IF(H$3&lt;=$D101,INT(($C101-SUMPRODUCT($E101:G101,$E$3:G$3))/H$3),0)</f>
        <v>0</v>
      </c>
      <c r="I101" s="30">
        <f>IF(I$3&lt;=$D101,INT(($C101-SUMPRODUCT($E101:H101,$E$3:H$3))/I$3),0)</f>
        <v>0</v>
      </c>
      <c r="J101" s="30">
        <f>INT(($C101-SUMPRODUCT($E101:I101,$E$3:I$3))/J$3)</f>
        <v>0</v>
      </c>
      <c r="K101" s="25">
        <f t="shared" ref="K101:K132" si="9">SUM(E101:J101)</f>
        <v>20</v>
      </c>
      <c r="L101" s="30">
        <f t="shared" si="8"/>
        <v>19500</v>
      </c>
    </row>
    <row r="102" spans="1:12" x14ac:dyDescent="0.3">
      <c r="A102" s="28" t="str">
        <f>'스테이지별 골드'!C32</f>
        <v>7-4</v>
      </c>
      <c r="B102" s="24" t="s">
        <v>68</v>
      </c>
      <c r="C102" s="29">
        <f>'스테이지별 골드'!P32</f>
        <v>11700</v>
      </c>
      <c r="D102" s="30">
        <f>IF(C102&gt;=E$3*설정!$B$10,E$3,IF(C102&gt;=F$3*설정!$B$10,F$3,IF(C102&gt;=G$3*설정!$B$10,G$3,IF(C102&gt;=H$3*설정!$B$10,H$3,IF(C102&gt;=I$3*설정!$B$10,I$3,J$3)))))</f>
        <v>1000</v>
      </c>
      <c r="E102" s="30">
        <f t="shared" si="6"/>
        <v>11</v>
      </c>
      <c r="F102" s="30">
        <f>IF(F$3&lt;=$D102,INT(($C102-SUMPRODUCT($E102:E102,$E$3:E$3))/F$3),0)</f>
        <v>1</v>
      </c>
      <c r="G102" s="30">
        <f>IF(G$3&lt;=$D102,INT(($C102-SUMPRODUCT($E102:F102,$E$3:F$3))/G$3),0)</f>
        <v>2</v>
      </c>
      <c r="H102" s="30">
        <f>IF(H$3&lt;=$D102,INT(($C102-SUMPRODUCT($E102:G102,$E$3:G$3))/H$3),0)</f>
        <v>0</v>
      </c>
      <c r="I102" s="30">
        <f>IF(I$3&lt;=$D102,INT(($C102-SUMPRODUCT($E102:H102,$E$3:H$3))/I$3),0)</f>
        <v>0</v>
      </c>
      <c r="J102" s="30">
        <f>INT(($C102-SUMPRODUCT($E102:I102,$E$3:I$3))/J$3)</f>
        <v>0</v>
      </c>
      <c r="K102" s="25">
        <f t="shared" si="9"/>
        <v>14</v>
      </c>
      <c r="L102" s="30">
        <f t="shared" si="8"/>
        <v>11700</v>
      </c>
    </row>
  </sheetData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 outlineLevelCol="1" x14ac:dyDescent="0.3"/>
  <cols>
    <col min="1" max="1" width="13" customWidth="1"/>
    <col min="2" max="2" width="8" customWidth="1"/>
    <col min="3" max="4" width="6" customWidth="1"/>
    <col min="5" max="5" width="10" customWidth="1"/>
    <col min="6" max="6" width="8" customWidth="1"/>
    <col min="7" max="7" width="9" customWidth="1"/>
    <col min="8" max="15" width="9" customWidth="1" outlineLevel="1"/>
    <col min="16" max="16" width="8" customWidth="1"/>
    <col min="17" max="17" width="10" customWidth="1"/>
    <col min="18" max="18" width="8" customWidth="1"/>
    <col min="19" max="19" width="9" customWidth="1"/>
    <col min="20" max="21" width="8" customWidth="1"/>
    <col min="22" max="22" width="9" customWidth="1"/>
    <col min="23" max="23" width="10" customWidth="1"/>
    <col min="24" max="24" width="9" customWidth="1"/>
    <col min="25" max="25" width="11" customWidth="1"/>
    <col min="26" max="27" width="10" customWidth="1"/>
    <col min="28" max="28" width="12" customWidth="1"/>
  </cols>
  <sheetData>
    <row r="1" spans="1:28" ht="20.25" customHeight="1" x14ac:dyDescent="0.3">
      <c r="A1" s="31" t="s">
        <v>245</v>
      </c>
    </row>
    <row r="2" spans="1:28" x14ac:dyDescent="0.3">
      <c r="A2" s="32" t="s">
        <v>246</v>
      </c>
    </row>
    <row r="3" spans="1:28" x14ac:dyDescent="0.3">
      <c r="O3" s="66" t="s">
        <v>240</v>
      </c>
      <c r="P3" s="67">
        <f>설정!$B$20</f>
        <v>1000</v>
      </c>
      <c r="Q3" s="67">
        <f>설정!$B$19</f>
        <v>500</v>
      </c>
      <c r="R3" s="67">
        <f>설정!$B$18</f>
        <v>100</v>
      </c>
      <c r="S3" s="67">
        <f>설정!$B$17</f>
        <v>25</v>
      </c>
      <c r="T3" s="67">
        <f>설정!$B$16</f>
        <v>5</v>
      </c>
      <c r="U3" s="67">
        <f>설정!$B$15</f>
        <v>1</v>
      </c>
    </row>
    <row r="4" spans="1:28" ht="27" customHeight="1" x14ac:dyDescent="0.3">
      <c r="A4" s="36" t="s">
        <v>58</v>
      </c>
      <c r="B4" s="36" t="s">
        <v>80</v>
      </c>
      <c r="C4" s="36" t="s">
        <v>219</v>
      </c>
      <c r="D4" s="36" t="s">
        <v>2</v>
      </c>
      <c r="E4" s="36" t="s">
        <v>247</v>
      </c>
      <c r="F4" s="36" t="s">
        <v>248</v>
      </c>
      <c r="G4" s="36" t="s">
        <v>249</v>
      </c>
      <c r="H4" s="36" t="s">
        <v>250</v>
      </c>
      <c r="I4" s="36" t="s">
        <v>251</v>
      </c>
      <c r="J4" s="36" t="s">
        <v>252</v>
      </c>
      <c r="K4" s="36" t="s">
        <v>253</v>
      </c>
      <c r="L4" s="36" t="s">
        <v>254</v>
      </c>
      <c r="M4" s="36" t="s">
        <v>255</v>
      </c>
      <c r="N4" s="36" t="s">
        <v>256</v>
      </c>
      <c r="O4" s="36" t="s">
        <v>257</v>
      </c>
      <c r="P4" s="36" t="s">
        <v>64</v>
      </c>
      <c r="Q4" s="36" t="s">
        <v>63</v>
      </c>
      <c r="R4" s="36" t="s">
        <v>62</v>
      </c>
      <c r="S4" s="36" t="s">
        <v>61</v>
      </c>
      <c r="T4" s="36" t="s">
        <v>60</v>
      </c>
      <c r="U4" s="36" t="s">
        <v>59</v>
      </c>
      <c r="V4" s="36" t="s">
        <v>243</v>
      </c>
      <c r="W4" s="36" t="s">
        <v>258</v>
      </c>
      <c r="X4" s="36" t="s">
        <v>259</v>
      </c>
      <c r="Y4" s="36" t="s">
        <v>260</v>
      </c>
      <c r="Z4" s="36" t="s">
        <v>261</v>
      </c>
      <c r="AA4" s="36" t="s">
        <v>262</v>
      </c>
      <c r="AB4" s="36" t="s">
        <v>263</v>
      </c>
    </row>
    <row r="5" spans="1:28" x14ac:dyDescent="0.3">
      <c r="A5" s="68" t="s">
        <v>65</v>
      </c>
      <c r="B5" s="69" t="str">
        <f>'스테이지별 골드'!C5</f>
        <v>1-1</v>
      </c>
      <c r="C5" s="70">
        <f>MATCH(B5,'스테이지별 골드'!$C$5:$C$32,0)</f>
        <v>1</v>
      </c>
      <c r="D5" s="70">
        <f t="shared" ref="D5:D36" si="0">INT((C5-1)/4)+1</f>
        <v>1</v>
      </c>
      <c r="E5" s="71">
        <f>'스테이지별 골드'!J5</f>
        <v>10</v>
      </c>
      <c r="F5" s="71">
        <f>'스테이지별 골드'!D5</f>
        <v>9</v>
      </c>
      <c r="G5" s="72">
        <f>ROUND(설정!$B$26*(1+설정!$C$26)^(C5-1)*(1+설정!$D$26)^(D5-1),0)</f>
        <v>10</v>
      </c>
      <c r="H5" s="73">
        <f t="shared" ref="H5:H36" si="1">IF(G5=0,0,E5/G5)</f>
        <v>1</v>
      </c>
      <c r="I5" s="70">
        <f>COUNTIF(설정!$C$34:$C$39,"&lt;="&amp;MAX(1,C5-설정!$E$26))</f>
        <v>2</v>
      </c>
      <c r="J5" s="70">
        <f>MIN(I5,MAX(1,COUNTIF(설정!$B$15:$B$20,"&lt;="&amp;H5)))</f>
        <v>1</v>
      </c>
      <c r="K5" s="70">
        <f t="shared" ref="K5:K36" si="2">IF(J5&lt;I5,J5+1,J5)</f>
        <v>2</v>
      </c>
      <c r="L5" s="72">
        <f>INDEX(설정!$B$15:$B$20,J5)</f>
        <v>1</v>
      </c>
      <c r="M5" s="72">
        <f>INDEX(설정!$B$15:$B$20,K5)</f>
        <v>5</v>
      </c>
      <c r="N5" s="72">
        <f t="shared" ref="N5:N36" si="3">IF(K5=J5,0,MIN(G5,MAX(0,ROUND((E5-G5*L5)/(M5-L5),0))))</f>
        <v>0</v>
      </c>
      <c r="O5" s="72">
        <f t="shared" ref="O5:O36" si="4">IF(K5=J5,ROUND(E5/L5,0),G5-N5)</f>
        <v>10</v>
      </c>
      <c r="P5" s="72">
        <f t="shared" ref="P5:P36" si="5">IF($K5=6,$N5,0)+IF($J5=6,$O5,0)</f>
        <v>0</v>
      </c>
      <c r="Q5" s="72">
        <f t="shared" ref="Q5:Q36" si="6">IF($K5=5,$N5,0)+IF($J5=5,$O5,0)</f>
        <v>0</v>
      </c>
      <c r="R5" s="72">
        <f t="shared" ref="R5:R36" si="7">IF($K5=4,$N5,0)+IF($J5=4,$O5,0)</f>
        <v>0</v>
      </c>
      <c r="S5" s="72">
        <f t="shared" ref="S5:S36" si="8">IF($K5=3,$N5,0)+IF($J5=3,$O5,0)</f>
        <v>0</v>
      </c>
      <c r="T5" s="72">
        <f t="shared" ref="T5:T36" si="9">IF($K5=2,$N5,0)+IF($J5=2,$O5,0)</f>
        <v>0</v>
      </c>
      <c r="U5" s="72">
        <f t="shared" ref="U5:U36" si="10">IF($K5=1,$N5,0)+IF($J5=1,$O5,0)</f>
        <v>10</v>
      </c>
      <c r="V5" s="74">
        <f t="shared" ref="V5:V36" si="11">SUM(P5:U5)</f>
        <v>10</v>
      </c>
      <c r="W5" s="72">
        <f t="shared" ref="W5:W36" si="12">SUMPRODUCT(P5:U5,$P$3:$U$3)</f>
        <v>10</v>
      </c>
      <c r="X5" s="75">
        <f t="shared" ref="X5:X36" si="13">IF(E5=0,0,W5/E5-1)</f>
        <v>0</v>
      </c>
      <c r="Y5" s="76" t="str">
        <f>INDEX(설정!$A$15:$A$20,IF(N5*M5&gt;=O5*L5,K5,J5))</f>
        <v>금 코인</v>
      </c>
      <c r="Z5" s="71">
        <f>SUMIFS('드랍 구성'!$K$5:$K$102,'드랍 구성'!$A$5:$A$102,B5,'드랍 구성'!$B$5:$B$102,A5)</f>
        <v>10</v>
      </c>
      <c r="AA5" s="77" t="str">
        <f t="shared" ref="AA5:AA36" si="14">IF(A4&lt;&gt;A5,"-",V5-V4)</f>
        <v>-</v>
      </c>
      <c r="AB5" s="72">
        <f t="shared" ref="AB5:AB36" si="15">W5*F5</f>
        <v>90</v>
      </c>
    </row>
    <row r="6" spans="1:28" x14ac:dyDescent="0.3">
      <c r="A6" s="37" t="s">
        <v>65</v>
      </c>
      <c r="B6" s="46" t="str">
        <f>'스테이지별 골드'!C6</f>
        <v>1-2</v>
      </c>
      <c r="C6" s="52">
        <f>MATCH(B6,'스테이지별 골드'!$C$5:$C$32,0)</f>
        <v>2</v>
      </c>
      <c r="D6" s="52">
        <f t="shared" si="0"/>
        <v>1</v>
      </c>
      <c r="E6" s="39">
        <f>'스테이지별 골드'!J6</f>
        <v>13</v>
      </c>
      <c r="F6" s="39">
        <f>'스테이지별 골드'!D6</f>
        <v>10</v>
      </c>
      <c r="G6" s="59">
        <f>ROUND(설정!$B$26*(1+설정!$C$26)^(C6-1)*(1+설정!$D$26)^(D6-1),0)</f>
        <v>10</v>
      </c>
      <c r="H6" s="58">
        <f t="shared" si="1"/>
        <v>1.3</v>
      </c>
      <c r="I6" s="52">
        <f>COUNTIF(설정!$C$34:$C$39,"&lt;="&amp;MAX(1,C6-설정!$E$26))</f>
        <v>2</v>
      </c>
      <c r="J6" s="52">
        <f>MIN(I6,MAX(1,COUNTIF(설정!$B$15:$B$20,"&lt;="&amp;H6)))</f>
        <v>1</v>
      </c>
      <c r="K6" s="52">
        <f t="shared" si="2"/>
        <v>2</v>
      </c>
      <c r="L6" s="59">
        <f>INDEX(설정!$B$15:$B$20,J6)</f>
        <v>1</v>
      </c>
      <c r="M6" s="59">
        <f>INDEX(설정!$B$15:$B$20,K6)</f>
        <v>5</v>
      </c>
      <c r="N6" s="59">
        <f t="shared" si="3"/>
        <v>1</v>
      </c>
      <c r="O6" s="59">
        <f t="shared" si="4"/>
        <v>9</v>
      </c>
      <c r="P6" s="59">
        <f t="shared" si="5"/>
        <v>0</v>
      </c>
      <c r="Q6" s="59">
        <f t="shared" si="6"/>
        <v>0</v>
      </c>
      <c r="R6" s="59">
        <f t="shared" si="7"/>
        <v>0</v>
      </c>
      <c r="S6" s="59">
        <f t="shared" si="8"/>
        <v>0</v>
      </c>
      <c r="T6" s="59">
        <f t="shared" si="9"/>
        <v>1</v>
      </c>
      <c r="U6" s="59">
        <f t="shared" si="10"/>
        <v>9</v>
      </c>
      <c r="V6" s="78">
        <f t="shared" si="11"/>
        <v>10</v>
      </c>
      <c r="W6" s="59">
        <f t="shared" si="12"/>
        <v>14</v>
      </c>
      <c r="X6" s="79">
        <f t="shared" si="13"/>
        <v>7.6923076923076872E-2</v>
      </c>
      <c r="Y6" s="56" t="str">
        <f>INDEX(설정!$A$15:$A$20,IF(N6*M6&gt;=O6*L6,K6,J6))</f>
        <v>금 코인</v>
      </c>
      <c r="Z6" s="39">
        <f>SUMIFS('드랍 구성'!$K$5:$K$102,'드랍 구성'!$A$5:$A$102,B6,'드랍 구성'!$B$5:$B$102,A6)</f>
        <v>13</v>
      </c>
      <c r="AA6" s="80">
        <f t="shared" si="14"/>
        <v>0</v>
      </c>
      <c r="AB6" s="59">
        <f t="shared" si="15"/>
        <v>140</v>
      </c>
    </row>
    <row r="7" spans="1:28" x14ac:dyDescent="0.3">
      <c r="A7" s="37" t="s">
        <v>65</v>
      </c>
      <c r="B7" s="46" t="str">
        <f>'스테이지별 골드'!C7</f>
        <v>1-3</v>
      </c>
      <c r="C7" s="52">
        <f>MATCH(B7,'스테이지별 골드'!$C$5:$C$32,0)</f>
        <v>3</v>
      </c>
      <c r="D7" s="52">
        <f t="shared" si="0"/>
        <v>1</v>
      </c>
      <c r="E7" s="39">
        <f>'스테이지별 골드'!J7</f>
        <v>15</v>
      </c>
      <c r="F7" s="39">
        <f>'스테이지별 골드'!D7</f>
        <v>11</v>
      </c>
      <c r="G7" s="59">
        <f>ROUND(설정!$B$26*(1+설정!$C$26)^(C7-1)*(1+설정!$D$26)^(D7-1),0)</f>
        <v>10</v>
      </c>
      <c r="H7" s="58">
        <f t="shared" si="1"/>
        <v>1.5</v>
      </c>
      <c r="I7" s="52">
        <f>COUNTIF(설정!$C$34:$C$39,"&lt;="&amp;MAX(1,C7-설정!$E$26))</f>
        <v>2</v>
      </c>
      <c r="J7" s="52">
        <f>MIN(I7,MAX(1,COUNTIF(설정!$B$15:$B$20,"&lt;="&amp;H7)))</f>
        <v>1</v>
      </c>
      <c r="K7" s="52">
        <f t="shared" si="2"/>
        <v>2</v>
      </c>
      <c r="L7" s="59">
        <f>INDEX(설정!$B$15:$B$20,J7)</f>
        <v>1</v>
      </c>
      <c r="M7" s="59">
        <f>INDEX(설정!$B$15:$B$20,K7)</f>
        <v>5</v>
      </c>
      <c r="N7" s="59">
        <f t="shared" si="3"/>
        <v>1</v>
      </c>
      <c r="O7" s="59">
        <f t="shared" si="4"/>
        <v>9</v>
      </c>
      <c r="P7" s="59">
        <f t="shared" si="5"/>
        <v>0</v>
      </c>
      <c r="Q7" s="59">
        <f t="shared" si="6"/>
        <v>0</v>
      </c>
      <c r="R7" s="59">
        <f t="shared" si="7"/>
        <v>0</v>
      </c>
      <c r="S7" s="59">
        <f t="shared" si="8"/>
        <v>0</v>
      </c>
      <c r="T7" s="59">
        <f t="shared" si="9"/>
        <v>1</v>
      </c>
      <c r="U7" s="59">
        <f t="shared" si="10"/>
        <v>9</v>
      </c>
      <c r="V7" s="78">
        <f t="shared" si="11"/>
        <v>10</v>
      </c>
      <c r="W7" s="59">
        <f t="shared" si="12"/>
        <v>14</v>
      </c>
      <c r="X7" s="79">
        <f t="shared" si="13"/>
        <v>-6.6666666666666652E-2</v>
      </c>
      <c r="Y7" s="56" t="str">
        <f>INDEX(설정!$A$15:$A$20,IF(N7*M7&gt;=O7*L7,K7,J7))</f>
        <v>금 코인</v>
      </c>
      <c r="Z7" s="39">
        <f>SUMIFS('드랍 구성'!$K$5:$K$102,'드랍 구성'!$A$5:$A$102,B7,'드랍 구성'!$B$5:$B$102,A7)</f>
        <v>15</v>
      </c>
      <c r="AA7" s="80">
        <f t="shared" si="14"/>
        <v>0</v>
      </c>
      <c r="AB7" s="59">
        <f t="shared" si="15"/>
        <v>154</v>
      </c>
    </row>
    <row r="8" spans="1:28" x14ac:dyDescent="0.3">
      <c r="A8" s="37" t="s">
        <v>65</v>
      </c>
      <c r="B8" s="46" t="str">
        <f>'스테이지별 골드'!C8</f>
        <v>1-4</v>
      </c>
      <c r="C8" s="52">
        <f>MATCH(B8,'스테이지별 골드'!$C$5:$C$32,0)</f>
        <v>4</v>
      </c>
      <c r="D8" s="52">
        <f t="shared" si="0"/>
        <v>1</v>
      </c>
      <c r="E8" s="39">
        <f>'스테이지별 골드'!J8</f>
        <v>19</v>
      </c>
      <c r="F8" s="39">
        <f>'스테이지별 골드'!D8</f>
        <v>12</v>
      </c>
      <c r="G8" s="59">
        <f>ROUND(설정!$B$26*(1+설정!$C$26)^(C8-1)*(1+설정!$D$26)^(D8-1),0)</f>
        <v>11</v>
      </c>
      <c r="H8" s="58">
        <f t="shared" si="1"/>
        <v>1.7272727272727273</v>
      </c>
      <c r="I8" s="52">
        <f>COUNTIF(설정!$C$34:$C$39,"&lt;="&amp;MAX(1,C8-설정!$E$26))</f>
        <v>2</v>
      </c>
      <c r="J8" s="52">
        <f>MIN(I8,MAX(1,COUNTIF(설정!$B$15:$B$20,"&lt;="&amp;H8)))</f>
        <v>1</v>
      </c>
      <c r="K8" s="52">
        <f t="shared" si="2"/>
        <v>2</v>
      </c>
      <c r="L8" s="59">
        <f>INDEX(설정!$B$15:$B$20,J8)</f>
        <v>1</v>
      </c>
      <c r="M8" s="59">
        <f>INDEX(설정!$B$15:$B$20,K8)</f>
        <v>5</v>
      </c>
      <c r="N8" s="59">
        <f t="shared" si="3"/>
        <v>2</v>
      </c>
      <c r="O8" s="59">
        <f t="shared" si="4"/>
        <v>9</v>
      </c>
      <c r="P8" s="59">
        <f t="shared" si="5"/>
        <v>0</v>
      </c>
      <c r="Q8" s="59">
        <f t="shared" si="6"/>
        <v>0</v>
      </c>
      <c r="R8" s="59">
        <f t="shared" si="7"/>
        <v>0</v>
      </c>
      <c r="S8" s="59">
        <f t="shared" si="8"/>
        <v>0</v>
      </c>
      <c r="T8" s="59">
        <f t="shared" si="9"/>
        <v>2</v>
      </c>
      <c r="U8" s="59">
        <f t="shared" si="10"/>
        <v>9</v>
      </c>
      <c r="V8" s="78">
        <f t="shared" si="11"/>
        <v>11</v>
      </c>
      <c r="W8" s="59">
        <f t="shared" si="12"/>
        <v>19</v>
      </c>
      <c r="X8" s="79">
        <f t="shared" si="13"/>
        <v>0</v>
      </c>
      <c r="Y8" s="56" t="str">
        <f>INDEX(설정!$A$15:$A$20,IF(N8*M8&gt;=O8*L8,K8,J8))</f>
        <v>금괴</v>
      </c>
      <c r="Z8" s="39">
        <f>SUMIFS('드랍 구성'!$K$5:$K$102,'드랍 구성'!$A$5:$A$102,B8,'드랍 구성'!$B$5:$B$102,A8)</f>
        <v>19</v>
      </c>
      <c r="AA8" s="80">
        <f t="shared" si="14"/>
        <v>1</v>
      </c>
      <c r="AB8" s="59">
        <f t="shared" si="15"/>
        <v>228</v>
      </c>
    </row>
    <row r="9" spans="1:28" x14ac:dyDescent="0.3">
      <c r="A9" s="37" t="s">
        <v>65</v>
      </c>
      <c r="B9" s="46" t="str">
        <f>'스테이지별 골드'!C9</f>
        <v>2-1</v>
      </c>
      <c r="C9" s="52">
        <f>MATCH(B9,'스테이지별 골드'!$C$5:$C$32,0)</f>
        <v>5</v>
      </c>
      <c r="D9" s="52">
        <f t="shared" si="0"/>
        <v>2</v>
      </c>
      <c r="E9" s="39">
        <f>'스테이지별 골드'!J9</f>
        <v>23</v>
      </c>
      <c r="F9" s="39">
        <f>'스테이지별 골드'!D9</f>
        <v>13</v>
      </c>
      <c r="G9" s="59">
        <f>ROUND(설정!$B$26*(1+설정!$C$26)^(C9-1)*(1+설정!$D$26)^(D9-1),0)</f>
        <v>12</v>
      </c>
      <c r="H9" s="58">
        <f t="shared" si="1"/>
        <v>1.9166666666666667</v>
      </c>
      <c r="I9" s="52">
        <f>COUNTIF(설정!$C$34:$C$39,"&lt;="&amp;MAX(1,C9-설정!$E$26))</f>
        <v>3</v>
      </c>
      <c r="J9" s="52">
        <f>MIN(I9,MAX(1,COUNTIF(설정!$B$15:$B$20,"&lt;="&amp;H9)))</f>
        <v>1</v>
      </c>
      <c r="K9" s="52">
        <f t="shared" si="2"/>
        <v>2</v>
      </c>
      <c r="L9" s="59">
        <f>INDEX(설정!$B$15:$B$20,J9)</f>
        <v>1</v>
      </c>
      <c r="M9" s="59">
        <f>INDEX(설정!$B$15:$B$20,K9)</f>
        <v>5</v>
      </c>
      <c r="N9" s="59">
        <f t="shared" si="3"/>
        <v>3</v>
      </c>
      <c r="O9" s="59">
        <f t="shared" si="4"/>
        <v>9</v>
      </c>
      <c r="P9" s="59">
        <f t="shared" si="5"/>
        <v>0</v>
      </c>
      <c r="Q9" s="59">
        <f t="shared" si="6"/>
        <v>0</v>
      </c>
      <c r="R9" s="59">
        <f t="shared" si="7"/>
        <v>0</v>
      </c>
      <c r="S9" s="59">
        <f t="shared" si="8"/>
        <v>0</v>
      </c>
      <c r="T9" s="59">
        <f t="shared" si="9"/>
        <v>3</v>
      </c>
      <c r="U9" s="59">
        <f t="shared" si="10"/>
        <v>9</v>
      </c>
      <c r="V9" s="78">
        <f t="shared" si="11"/>
        <v>12</v>
      </c>
      <c r="W9" s="59">
        <f t="shared" si="12"/>
        <v>24</v>
      </c>
      <c r="X9" s="79">
        <f t="shared" si="13"/>
        <v>4.3478260869565188E-2</v>
      </c>
      <c r="Y9" s="56" t="str">
        <f>INDEX(설정!$A$15:$A$20,IF(N9*M9&gt;=O9*L9,K9,J9))</f>
        <v>금괴</v>
      </c>
      <c r="Z9" s="39">
        <f>SUMIFS('드랍 구성'!$K$5:$K$102,'드랍 구성'!$A$5:$A$102,B9,'드랍 구성'!$B$5:$B$102,A9)</f>
        <v>23</v>
      </c>
      <c r="AA9" s="80">
        <f t="shared" si="14"/>
        <v>1</v>
      </c>
      <c r="AB9" s="59">
        <f t="shared" si="15"/>
        <v>312</v>
      </c>
    </row>
    <row r="10" spans="1:28" x14ac:dyDescent="0.3">
      <c r="A10" s="37" t="s">
        <v>65</v>
      </c>
      <c r="B10" s="46" t="str">
        <f>'스테이지별 골드'!C10</f>
        <v>2-2</v>
      </c>
      <c r="C10" s="52">
        <f>MATCH(B10,'스테이지별 골드'!$C$5:$C$32,0)</f>
        <v>6</v>
      </c>
      <c r="D10" s="52">
        <f t="shared" si="0"/>
        <v>2</v>
      </c>
      <c r="E10" s="39">
        <f>'스테이지별 골드'!J10</f>
        <v>29</v>
      </c>
      <c r="F10" s="39">
        <f>'스테이지별 골드'!D10</f>
        <v>14</v>
      </c>
      <c r="G10" s="59">
        <f>ROUND(설정!$B$26*(1+설정!$C$26)^(C10-1)*(1+설정!$D$26)^(D10-1),0)</f>
        <v>12</v>
      </c>
      <c r="H10" s="58">
        <f t="shared" si="1"/>
        <v>2.4166666666666665</v>
      </c>
      <c r="I10" s="52">
        <f>COUNTIF(설정!$C$34:$C$39,"&lt;="&amp;MAX(1,C10-설정!$E$26))</f>
        <v>3</v>
      </c>
      <c r="J10" s="52">
        <f>MIN(I10,MAX(1,COUNTIF(설정!$B$15:$B$20,"&lt;="&amp;H10)))</f>
        <v>1</v>
      </c>
      <c r="K10" s="52">
        <f t="shared" si="2"/>
        <v>2</v>
      </c>
      <c r="L10" s="59">
        <f>INDEX(설정!$B$15:$B$20,J10)</f>
        <v>1</v>
      </c>
      <c r="M10" s="59">
        <f>INDEX(설정!$B$15:$B$20,K10)</f>
        <v>5</v>
      </c>
      <c r="N10" s="59">
        <f t="shared" si="3"/>
        <v>4</v>
      </c>
      <c r="O10" s="59">
        <f t="shared" si="4"/>
        <v>8</v>
      </c>
      <c r="P10" s="59">
        <f t="shared" si="5"/>
        <v>0</v>
      </c>
      <c r="Q10" s="59">
        <f t="shared" si="6"/>
        <v>0</v>
      </c>
      <c r="R10" s="59">
        <f t="shared" si="7"/>
        <v>0</v>
      </c>
      <c r="S10" s="59">
        <f t="shared" si="8"/>
        <v>0</v>
      </c>
      <c r="T10" s="59">
        <f t="shared" si="9"/>
        <v>4</v>
      </c>
      <c r="U10" s="59">
        <f t="shared" si="10"/>
        <v>8</v>
      </c>
      <c r="V10" s="78">
        <f t="shared" si="11"/>
        <v>12</v>
      </c>
      <c r="W10" s="59">
        <f t="shared" si="12"/>
        <v>28</v>
      </c>
      <c r="X10" s="79">
        <f t="shared" si="13"/>
        <v>-3.4482758620689613E-2</v>
      </c>
      <c r="Y10" s="56" t="str">
        <f>INDEX(설정!$A$15:$A$20,IF(N10*M10&gt;=O10*L10,K10,J10))</f>
        <v>금괴</v>
      </c>
      <c r="Z10" s="39">
        <f>SUMIFS('드랍 구성'!$K$5:$K$102,'드랍 구성'!$A$5:$A$102,B10,'드랍 구성'!$B$5:$B$102,A10)</f>
        <v>9</v>
      </c>
      <c r="AA10" s="80">
        <f t="shared" si="14"/>
        <v>0</v>
      </c>
      <c r="AB10" s="59">
        <f t="shared" si="15"/>
        <v>392</v>
      </c>
    </row>
    <row r="11" spans="1:28" x14ac:dyDescent="0.3">
      <c r="A11" s="37" t="s">
        <v>65</v>
      </c>
      <c r="B11" s="46" t="str">
        <f>'스테이지별 골드'!C11</f>
        <v>2-3</v>
      </c>
      <c r="C11" s="52">
        <f>MATCH(B11,'스테이지별 골드'!$C$5:$C$32,0)</f>
        <v>7</v>
      </c>
      <c r="D11" s="52">
        <f t="shared" si="0"/>
        <v>2</v>
      </c>
      <c r="E11" s="39">
        <f>'스테이지별 골드'!J11</f>
        <v>35</v>
      </c>
      <c r="F11" s="39">
        <f>'스테이지별 골드'!D11</f>
        <v>15</v>
      </c>
      <c r="G11" s="59">
        <f>ROUND(설정!$B$26*(1+설정!$C$26)^(C11-1)*(1+설정!$D$26)^(D11-1),0)</f>
        <v>12</v>
      </c>
      <c r="H11" s="58">
        <f t="shared" si="1"/>
        <v>2.9166666666666665</v>
      </c>
      <c r="I11" s="52">
        <f>COUNTIF(설정!$C$34:$C$39,"&lt;="&amp;MAX(1,C11-설정!$E$26))</f>
        <v>3</v>
      </c>
      <c r="J11" s="52">
        <f>MIN(I11,MAX(1,COUNTIF(설정!$B$15:$B$20,"&lt;="&amp;H11)))</f>
        <v>1</v>
      </c>
      <c r="K11" s="52">
        <f t="shared" si="2"/>
        <v>2</v>
      </c>
      <c r="L11" s="59">
        <f>INDEX(설정!$B$15:$B$20,J11)</f>
        <v>1</v>
      </c>
      <c r="M11" s="59">
        <f>INDEX(설정!$B$15:$B$20,K11)</f>
        <v>5</v>
      </c>
      <c r="N11" s="59">
        <f t="shared" si="3"/>
        <v>6</v>
      </c>
      <c r="O11" s="59">
        <f t="shared" si="4"/>
        <v>6</v>
      </c>
      <c r="P11" s="59">
        <f t="shared" si="5"/>
        <v>0</v>
      </c>
      <c r="Q11" s="59">
        <f t="shared" si="6"/>
        <v>0</v>
      </c>
      <c r="R11" s="59">
        <f t="shared" si="7"/>
        <v>0</v>
      </c>
      <c r="S11" s="59">
        <f t="shared" si="8"/>
        <v>0</v>
      </c>
      <c r="T11" s="59">
        <f t="shared" si="9"/>
        <v>6</v>
      </c>
      <c r="U11" s="59">
        <f t="shared" si="10"/>
        <v>6</v>
      </c>
      <c r="V11" s="78">
        <f t="shared" si="11"/>
        <v>12</v>
      </c>
      <c r="W11" s="59">
        <f t="shared" si="12"/>
        <v>36</v>
      </c>
      <c r="X11" s="79">
        <f t="shared" si="13"/>
        <v>2.857142857142847E-2</v>
      </c>
      <c r="Y11" s="56" t="str">
        <f>INDEX(설정!$A$15:$A$20,IF(N11*M11&gt;=O11*L11,K11,J11))</f>
        <v>금괴</v>
      </c>
      <c r="Z11" s="39">
        <f>SUMIFS('드랍 구성'!$K$5:$K$102,'드랍 구성'!$A$5:$A$102,B11,'드랍 구성'!$B$5:$B$102,A11)</f>
        <v>7</v>
      </c>
      <c r="AA11" s="80">
        <f t="shared" si="14"/>
        <v>0</v>
      </c>
      <c r="AB11" s="59">
        <f t="shared" si="15"/>
        <v>540</v>
      </c>
    </row>
    <row r="12" spans="1:28" x14ac:dyDescent="0.3">
      <c r="A12" s="37" t="s">
        <v>65</v>
      </c>
      <c r="B12" s="46" t="str">
        <f>'스테이지별 골드'!C12</f>
        <v>2-4</v>
      </c>
      <c r="C12" s="52">
        <f>MATCH(B12,'스테이지별 골드'!$C$5:$C$32,0)</f>
        <v>8</v>
      </c>
      <c r="D12" s="52">
        <f t="shared" si="0"/>
        <v>2</v>
      </c>
      <c r="E12" s="39">
        <f>'스테이지별 골드'!J12</f>
        <v>44</v>
      </c>
      <c r="F12" s="39">
        <f>'스테이지별 골드'!D12</f>
        <v>16</v>
      </c>
      <c r="G12" s="59">
        <f>ROUND(설정!$B$26*(1+설정!$C$26)^(C12-1)*(1+설정!$D$26)^(D12-1),0)</f>
        <v>12</v>
      </c>
      <c r="H12" s="58">
        <f t="shared" si="1"/>
        <v>3.6666666666666665</v>
      </c>
      <c r="I12" s="52">
        <f>COUNTIF(설정!$C$34:$C$39,"&lt;="&amp;MAX(1,C12-설정!$E$26))</f>
        <v>3</v>
      </c>
      <c r="J12" s="52">
        <f>MIN(I12,MAX(1,COUNTIF(설정!$B$15:$B$20,"&lt;="&amp;H12)))</f>
        <v>1</v>
      </c>
      <c r="K12" s="52">
        <f t="shared" si="2"/>
        <v>2</v>
      </c>
      <c r="L12" s="59">
        <f>INDEX(설정!$B$15:$B$20,J12)</f>
        <v>1</v>
      </c>
      <c r="M12" s="59">
        <f>INDEX(설정!$B$15:$B$20,K12)</f>
        <v>5</v>
      </c>
      <c r="N12" s="59">
        <f t="shared" si="3"/>
        <v>8</v>
      </c>
      <c r="O12" s="59">
        <f t="shared" si="4"/>
        <v>4</v>
      </c>
      <c r="P12" s="59">
        <f t="shared" si="5"/>
        <v>0</v>
      </c>
      <c r="Q12" s="59">
        <f t="shared" si="6"/>
        <v>0</v>
      </c>
      <c r="R12" s="59">
        <f t="shared" si="7"/>
        <v>0</v>
      </c>
      <c r="S12" s="59">
        <f t="shared" si="8"/>
        <v>0</v>
      </c>
      <c r="T12" s="59">
        <f t="shared" si="9"/>
        <v>8</v>
      </c>
      <c r="U12" s="59">
        <f t="shared" si="10"/>
        <v>4</v>
      </c>
      <c r="V12" s="78">
        <f t="shared" si="11"/>
        <v>12</v>
      </c>
      <c r="W12" s="59">
        <f t="shared" si="12"/>
        <v>44</v>
      </c>
      <c r="X12" s="79">
        <f t="shared" si="13"/>
        <v>0</v>
      </c>
      <c r="Y12" s="56" t="str">
        <f>INDEX(설정!$A$15:$A$20,IF(N12*M12&gt;=O12*L12,K12,J12))</f>
        <v>금괴</v>
      </c>
      <c r="Z12" s="39">
        <f>SUMIFS('드랍 구성'!$K$5:$K$102,'드랍 구성'!$A$5:$A$102,B12,'드랍 구성'!$B$5:$B$102,A12)</f>
        <v>12</v>
      </c>
      <c r="AA12" s="80">
        <f t="shared" si="14"/>
        <v>0</v>
      </c>
      <c r="AB12" s="59">
        <f t="shared" si="15"/>
        <v>704</v>
      </c>
    </row>
    <row r="13" spans="1:28" x14ac:dyDescent="0.3">
      <c r="A13" s="37" t="s">
        <v>65</v>
      </c>
      <c r="B13" s="46" t="str">
        <f>'스테이지별 골드'!C13</f>
        <v>3-1</v>
      </c>
      <c r="C13" s="52">
        <f>MATCH(B13,'스테이지별 골드'!$C$5:$C$32,0)</f>
        <v>9</v>
      </c>
      <c r="D13" s="52">
        <f t="shared" si="0"/>
        <v>3</v>
      </c>
      <c r="E13" s="39">
        <f>'스테이지별 골드'!J13</f>
        <v>53</v>
      </c>
      <c r="F13" s="39">
        <f>'스테이지별 골드'!D13</f>
        <v>17</v>
      </c>
      <c r="G13" s="59">
        <f>ROUND(설정!$B$26*(1+설정!$C$26)^(C13-1)*(1+설정!$D$26)^(D13-1),0)</f>
        <v>13</v>
      </c>
      <c r="H13" s="58">
        <f t="shared" si="1"/>
        <v>4.0769230769230766</v>
      </c>
      <c r="I13" s="52">
        <f>COUNTIF(설정!$C$34:$C$39,"&lt;="&amp;MAX(1,C13-설정!$E$26))</f>
        <v>3</v>
      </c>
      <c r="J13" s="52">
        <f>MIN(I13,MAX(1,COUNTIF(설정!$B$15:$B$20,"&lt;="&amp;H13)))</f>
        <v>1</v>
      </c>
      <c r="K13" s="52">
        <f t="shared" si="2"/>
        <v>2</v>
      </c>
      <c r="L13" s="59">
        <f>INDEX(설정!$B$15:$B$20,J13)</f>
        <v>1</v>
      </c>
      <c r="M13" s="59">
        <f>INDEX(설정!$B$15:$B$20,K13)</f>
        <v>5</v>
      </c>
      <c r="N13" s="59">
        <f t="shared" si="3"/>
        <v>10</v>
      </c>
      <c r="O13" s="59">
        <f t="shared" si="4"/>
        <v>3</v>
      </c>
      <c r="P13" s="59">
        <f t="shared" si="5"/>
        <v>0</v>
      </c>
      <c r="Q13" s="59">
        <f t="shared" si="6"/>
        <v>0</v>
      </c>
      <c r="R13" s="59">
        <f t="shared" si="7"/>
        <v>0</v>
      </c>
      <c r="S13" s="59">
        <f t="shared" si="8"/>
        <v>0</v>
      </c>
      <c r="T13" s="59">
        <f t="shared" si="9"/>
        <v>10</v>
      </c>
      <c r="U13" s="59">
        <f t="shared" si="10"/>
        <v>3</v>
      </c>
      <c r="V13" s="78">
        <f t="shared" si="11"/>
        <v>13</v>
      </c>
      <c r="W13" s="59">
        <f t="shared" si="12"/>
        <v>53</v>
      </c>
      <c r="X13" s="79">
        <f t="shared" si="13"/>
        <v>0</v>
      </c>
      <c r="Y13" s="56" t="str">
        <f>INDEX(설정!$A$15:$A$20,IF(N13*M13&gt;=O13*L13,K13,J13))</f>
        <v>금괴</v>
      </c>
      <c r="Z13" s="39">
        <f>SUMIFS('드랍 구성'!$K$5:$K$102,'드랍 구성'!$A$5:$A$102,B13,'드랍 구성'!$B$5:$B$102,A13)</f>
        <v>13</v>
      </c>
      <c r="AA13" s="80">
        <f t="shared" si="14"/>
        <v>1</v>
      </c>
      <c r="AB13" s="59">
        <f t="shared" si="15"/>
        <v>901</v>
      </c>
    </row>
    <row r="14" spans="1:28" x14ac:dyDescent="0.3">
      <c r="A14" s="37" t="s">
        <v>65</v>
      </c>
      <c r="B14" s="46" t="str">
        <f>'스테이지별 골드'!C14</f>
        <v>3-2</v>
      </c>
      <c r="C14" s="52">
        <f>MATCH(B14,'스테이지별 골드'!$C$5:$C$32,0)</f>
        <v>10</v>
      </c>
      <c r="D14" s="52">
        <f t="shared" si="0"/>
        <v>3</v>
      </c>
      <c r="E14" s="39">
        <f>'스테이지별 골드'!J14</f>
        <v>66</v>
      </c>
      <c r="F14" s="39">
        <f>'스테이지별 골드'!D14</f>
        <v>18</v>
      </c>
      <c r="G14" s="59">
        <f>ROUND(설정!$B$26*(1+설정!$C$26)^(C14-1)*(1+설정!$D$26)^(D14-1),0)</f>
        <v>14</v>
      </c>
      <c r="H14" s="58">
        <f t="shared" si="1"/>
        <v>4.7142857142857144</v>
      </c>
      <c r="I14" s="52">
        <f>COUNTIF(설정!$C$34:$C$39,"&lt;="&amp;MAX(1,C14-설정!$E$26))</f>
        <v>3</v>
      </c>
      <c r="J14" s="52">
        <f>MIN(I14,MAX(1,COUNTIF(설정!$B$15:$B$20,"&lt;="&amp;H14)))</f>
        <v>1</v>
      </c>
      <c r="K14" s="52">
        <f t="shared" si="2"/>
        <v>2</v>
      </c>
      <c r="L14" s="59">
        <f>INDEX(설정!$B$15:$B$20,J14)</f>
        <v>1</v>
      </c>
      <c r="M14" s="59">
        <f>INDEX(설정!$B$15:$B$20,K14)</f>
        <v>5</v>
      </c>
      <c r="N14" s="59">
        <f t="shared" si="3"/>
        <v>13</v>
      </c>
      <c r="O14" s="59">
        <f t="shared" si="4"/>
        <v>1</v>
      </c>
      <c r="P14" s="59">
        <f t="shared" si="5"/>
        <v>0</v>
      </c>
      <c r="Q14" s="59">
        <f t="shared" si="6"/>
        <v>0</v>
      </c>
      <c r="R14" s="59">
        <f t="shared" si="7"/>
        <v>0</v>
      </c>
      <c r="S14" s="59">
        <f t="shared" si="8"/>
        <v>0</v>
      </c>
      <c r="T14" s="59">
        <f t="shared" si="9"/>
        <v>13</v>
      </c>
      <c r="U14" s="59">
        <f t="shared" si="10"/>
        <v>1</v>
      </c>
      <c r="V14" s="78">
        <f t="shared" si="11"/>
        <v>14</v>
      </c>
      <c r="W14" s="59">
        <f t="shared" si="12"/>
        <v>66</v>
      </c>
      <c r="X14" s="79">
        <f t="shared" si="13"/>
        <v>0</v>
      </c>
      <c r="Y14" s="56" t="str">
        <f>INDEX(설정!$A$15:$A$20,IF(N14*M14&gt;=O14*L14,K14,J14))</f>
        <v>금괴</v>
      </c>
      <c r="Z14" s="39">
        <f>SUMIFS('드랍 구성'!$K$5:$K$102,'드랍 구성'!$A$5:$A$102,B14,'드랍 구성'!$B$5:$B$102,A14)</f>
        <v>14</v>
      </c>
      <c r="AA14" s="80">
        <f t="shared" si="14"/>
        <v>1</v>
      </c>
      <c r="AB14" s="59">
        <f t="shared" si="15"/>
        <v>1188</v>
      </c>
    </row>
    <row r="15" spans="1:28" x14ac:dyDescent="0.3">
      <c r="A15" s="37" t="s">
        <v>65</v>
      </c>
      <c r="B15" s="46" t="str">
        <f>'스테이지별 골드'!C15</f>
        <v>3-3</v>
      </c>
      <c r="C15" s="52">
        <f>MATCH(B15,'스테이지별 골드'!$C$5:$C$32,0)</f>
        <v>11</v>
      </c>
      <c r="D15" s="52">
        <f t="shared" si="0"/>
        <v>3</v>
      </c>
      <c r="E15" s="39">
        <f>'스테이지별 골드'!J15</f>
        <v>80</v>
      </c>
      <c r="F15" s="39">
        <f>'스테이지별 골드'!D15</f>
        <v>19</v>
      </c>
      <c r="G15" s="59">
        <f>ROUND(설정!$B$26*(1+설정!$C$26)^(C15-1)*(1+설정!$D$26)^(D15-1),0)</f>
        <v>14</v>
      </c>
      <c r="H15" s="58">
        <f t="shared" si="1"/>
        <v>5.7142857142857144</v>
      </c>
      <c r="I15" s="52">
        <f>COUNTIF(설정!$C$34:$C$39,"&lt;="&amp;MAX(1,C15-설정!$E$26))</f>
        <v>3</v>
      </c>
      <c r="J15" s="52">
        <f>MIN(I15,MAX(1,COUNTIF(설정!$B$15:$B$20,"&lt;="&amp;H15)))</f>
        <v>2</v>
      </c>
      <c r="K15" s="52">
        <f t="shared" si="2"/>
        <v>3</v>
      </c>
      <c r="L15" s="59">
        <f>INDEX(설정!$B$15:$B$20,J15)</f>
        <v>5</v>
      </c>
      <c r="M15" s="59">
        <f>INDEX(설정!$B$15:$B$20,K15)</f>
        <v>25</v>
      </c>
      <c r="N15" s="59">
        <f t="shared" si="3"/>
        <v>1</v>
      </c>
      <c r="O15" s="59">
        <f t="shared" si="4"/>
        <v>13</v>
      </c>
      <c r="P15" s="59">
        <f t="shared" si="5"/>
        <v>0</v>
      </c>
      <c r="Q15" s="59">
        <f t="shared" si="6"/>
        <v>0</v>
      </c>
      <c r="R15" s="59">
        <f t="shared" si="7"/>
        <v>0</v>
      </c>
      <c r="S15" s="59">
        <f t="shared" si="8"/>
        <v>1</v>
      </c>
      <c r="T15" s="59">
        <f t="shared" si="9"/>
        <v>13</v>
      </c>
      <c r="U15" s="59">
        <f t="shared" si="10"/>
        <v>0</v>
      </c>
      <c r="V15" s="78">
        <f t="shared" si="11"/>
        <v>14</v>
      </c>
      <c r="W15" s="59">
        <f t="shared" si="12"/>
        <v>90</v>
      </c>
      <c r="X15" s="79">
        <f t="shared" si="13"/>
        <v>0.125</v>
      </c>
      <c r="Y15" s="56" t="str">
        <f>INDEX(설정!$A$15:$A$20,IF(N15*M15&gt;=O15*L15,K15,J15))</f>
        <v>금괴</v>
      </c>
      <c r="Z15" s="39">
        <f>SUMIFS('드랍 구성'!$K$5:$K$102,'드랍 구성'!$A$5:$A$102,B15,'드랍 구성'!$B$5:$B$102,A15)</f>
        <v>16</v>
      </c>
      <c r="AA15" s="80">
        <f t="shared" si="14"/>
        <v>0</v>
      </c>
      <c r="AB15" s="59">
        <f t="shared" si="15"/>
        <v>1710</v>
      </c>
    </row>
    <row r="16" spans="1:28" x14ac:dyDescent="0.3">
      <c r="A16" s="37" t="s">
        <v>65</v>
      </c>
      <c r="B16" s="46" t="str">
        <f>'스테이지별 골드'!C16</f>
        <v>3-4</v>
      </c>
      <c r="C16" s="52">
        <f>MATCH(B16,'스테이지별 골드'!$C$5:$C$32,0)</f>
        <v>12</v>
      </c>
      <c r="D16" s="52">
        <f t="shared" si="0"/>
        <v>3</v>
      </c>
      <c r="E16" s="39">
        <f>'스테이지별 골드'!J16</f>
        <v>100</v>
      </c>
      <c r="F16" s="39">
        <f>'스테이지별 골드'!D16</f>
        <v>20</v>
      </c>
      <c r="G16" s="59">
        <f>ROUND(설정!$B$26*(1+설정!$C$26)^(C16-1)*(1+설정!$D$26)^(D16-1),0)</f>
        <v>14</v>
      </c>
      <c r="H16" s="58">
        <f t="shared" si="1"/>
        <v>7.1428571428571432</v>
      </c>
      <c r="I16" s="52">
        <f>COUNTIF(설정!$C$34:$C$39,"&lt;="&amp;MAX(1,C16-설정!$E$26))</f>
        <v>3</v>
      </c>
      <c r="J16" s="52">
        <f>MIN(I16,MAX(1,COUNTIF(설정!$B$15:$B$20,"&lt;="&amp;H16)))</f>
        <v>2</v>
      </c>
      <c r="K16" s="52">
        <f t="shared" si="2"/>
        <v>3</v>
      </c>
      <c r="L16" s="59">
        <f>INDEX(설정!$B$15:$B$20,J16)</f>
        <v>5</v>
      </c>
      <c r="M16" s="59">
        <f>INDEX(설정!$B$15:$B$20,K16)</f>
        <v>25</v>
      </c>
      <c r="N16" s="59">
        <f t="shared" si="3"/>
        <v>2</v>
      </c>
      <c r="O16" s="59">
        <f t="shared" si="4"/>
        <v>12</v>
      </c>
      <c r="P16" s="59">
        <f t="shared" si="5"/>
        <v>0</v>
      </c>
      <c r="Q16" s="59">
        <f t="shared" si="6"/>
        <v>0</v>
      </c>
      <c r="R16" s="59">
        <f t="shared" si="7"/>
        <v>0</v>
      </c>
      <c r="S16" s="59">
        <f t="shared" si="8"/>
        <v>2</v>
      </c>
      <c r="T16" s="59">
        <f t="shared" si="9"/>
        <v>12</v>
      </c>
      <c r="U16" s="59">
        <f t="shared" si="10"/>
        <v>0</v>
      </c>
      <c r="V16" s="78">
        <f t="shared" si="11"/>
        <v>14</v>
      </c>
      <c r="W16" s="59">
        <f t="shared" si="12"/>
        <v>110</v>
      </c>
      <c r="X16" s="79">
        <f t="shared" si="13"/>
        <v>0.10000000000000009</v>
      </c>
      <c r="Y16" s="56" t="str">
        <f>INDEX(설정!$A$15:$A$20,IF(N16*M16&gt;=O16*L16,K16,J16))</f>
        <v>금괴</v>
      </c>
      <c r="Z16" s="39">
        <f>SUMIFS('드랍 구성'!$K$5:$K$102,'드랍 구성'!$A$5:$A$102,B16,'드랍 구성'!$B$5:$B$102,A16)</f>
        <v>20</v>
      </c>
      <c r="AA16" s="80">
        <f t="shared" si="14"/>
        <v>0</v>
      </c>
      <c r="AB16" s="59">
        <f t="shared" si="15"/>
        <v>2200</v>
      </c>
    </row>
    <row r="17" spans="1:28" x14ac:dyDescent="0.3">
      <c r="A17" s="37" t="s">
        <v>65</v>
      </c>
      <c r="B17" s="46" t="str">
        <f>'스테이지별 골드'!C17</f>
        <v>4-1</v>
      </c>
      <c r="C17" s="52">
        <f>MATCH(B17,'스테이지별 골드'!$C$5:$C$32,0)</f>
        <v>13</v>
      </c>
      <c r="D17" s="52">
        <f t="shared" si="0"/>
        <v>4</v>
      </c>
      <c r="E17" s="39">
        <f>'스테이지별 골드'!J17</f>
        <v>120</v>
      </c>
      <c r="F17" s="39">
        <f>'스테이지별 골드'!D17</f>
        <v>21</v>
      </c>
      <c r="G17" s="59">
        <f>ROUND(설정!$B$26*(1+설정!$C$26)^(C17-1)*(1+설정!$D$26)^(D17-1),0)</f>
        <v>16</v>
      </c>
      <c r="H17" s="58">
        <f t="shared" si="1"/>
        <v>7.5</v>
      </c>
      <c r="I17" s="52">
        <f>COUNTIF(설정!$C$34:$C$39,"&lt;="&amp;MAX(1,C17-설정!$E$26))</f>
        <v>4</v>
      </c>
      <c r="J17" s="52">
        <f>MIN(I17,MAX(1,COUNTIF(설정!$B$15:$B$20,"&lt;="&amp;H17)))</f>
        <v>2</v>
      </c>
      <c r="K17" s="52">
        <f t="shared" si="2"/>
        <v>3</v>
      </c>
      <c r="L17" s="59">
        <f>INDEX(설정!$B$15:$B$20,J17)</f>
        <v>5</v>
      </c>
      <c r="M17" s="59">
        <f>INDEX(설정!$B$15:$B$20,K17)</f>
        <v>25</v>
      </c>
      <c r="N17" s="59">
        <f t="shared" si="3"/>
        <v>2</v>
      </c>
      <c r="O17" s="59">
        <f t="shared" si="4"/>
        <v>14</v>
      </c>
      <c r="P17" s="59">
        <f t="shared" si="5"/>
        <v>0</v>
      </c>
      <c r="Q17" s="59">
        <f t="shared" si="6"/>
        <v>0</v>
      </c>
      <c r="R17" s="59">
        <f t="shared" si="7"/>
        <v>0</v>
      </c>
      <c r="S17" s="59">
        <f t="shared" si="8"/>
        <v>2</v>
      </c>
      <c r="T17" s="59">
        <f t="shared" si="9"/>
        <v>14</v>
      </c>
      <c r="U17" s="59">
        <f t="shared" si="10"/>
        <v>0</v>
      </c>
      <c r="V17" s="78">
        <f t="shared" si="11"/>
        <v>16</v>
      </c>
      <c r="W17" s="59">
        <f t="shared" si="12"/>
        <v>120</v>
      </c>
      <c r="X17" s="79">
        <f t="shared" si="13"/>
        <v>0</v>
      </c>
      <c r="Y17" s="56" t="str">
        <f>INDEX(설정!$A$15:$A$20,IF(N17*M17&gt;=O17*L17,K17,J17))</f>
        <v>금괴</v>
      </c>
      <c r="Z17" s="39">
        <f>SUMIFS('드랍 구성'!$K$5:$K$102,'드랍 구성'!$A$5:$A$102,B17,'드랍 구성'!$B$5:$B$102,A17)</f>
        <v>24</v>
      </c>
      <c r="AA17" s="80">
        <f t="shared" si="14"/>
        <v>2</v>
      </c>
      <c r="AB17" s="59">
        <f t="shared" si="15"/>
        <v>2520</v>
      </c>
    </row>
    <row r="18" spans="1:28" x14ac:dyDescent="0.3">
      <c r="A18" s="37" t="s">
        <v>65</v>
      </c>
      <c r="B18" s="46" t="str">
        <f>'스테이지별 골드'!C18</f>
        <v>4-2</v>
      </c>
      <c r="C18" s="52">
        <f>MATCH(B18,'스테이지별 골드'!$C$5:$C$32,0)</f>
        <v>14</v>
      </c>
      <c r="D18" s="52">
        <f t="shared" si="0"/>
        <v>4</v>
      </c>
      <c r="E18" s="39">
        <f>'스테이지별 골드'!J18</f>
        <v>150</v>
      </c>
      <c r="F18" s="39">
        <f>'스테이지별 골드'!D18</f>
        <v>22</v>
      </c>
      <c r="G18" s="59">
        <f>ROUND(설정!$B$26*(1+설정!$C$26)^(C18-1)*(1+설정!$D$26)^(D18-1),0)</f>
        <v>16</v>
      </c>
      <c r="H18" s="58">
        <f t="shared" si="1"/>
        <v>9.375</v>
      </c>
      <c r="I18" s="52">
        <f>COUNTIF(설정!$C$34:$C$39,"&lt;="&amp;MAX(1,C18-설정!$E$26))</f>
        <v>4</v>
      </c>
      <c r="J18" s="52">
        <f>MIN(I18,MAX(1,COUNTIF(설정!$B$15:$B$20,"&lt;="&amp;H18)))</f>
        <v>2</v>
      </c>
      <c r="K18" s="52">
        <f t="shared" si="2"/>
        <v>3</v>
      </c>
      <c r="L18" s="59">
        <f>INDEX(설정!$B$15:$B$20,J18)</f>
        <v>5</v>
      </c>
      <c r="M18" s="59">
        <f>INDEX(설정!$B$15:$B$20,K18)</f>
        <v>25</v>
      </c>
      <c r="N18" s="59">
        <f t="shared" si="3"/>
        <v>4</v>
      </c>
      <c r="O18" s="59">
        <f t="shared" si="4"/>
        <v>12</v>
      </c>
      <c r="P18" s="59">
        <f t="shared" si="5"/>
        <v>0</v>
      </c>
      <c r="Q18" s="59">
        <f t="shared" si="6"/>
        <v>0</v>
      </c>
      <c r="R18" s="59">
        <f t="shared" si="7"/>
        <v>0</v>
      </c>
      <c r="S18" s="59">
        <f t="shared" si="8"/>
        <v>4</v>
      </c>
      <c r="T18" s="59">
        <f t="shared" si="9"/>
        <v>12</v>
      </c>
      <c r="U18" s="59">
        <f t="shared" si="10"/>
        <v>0</v>
      </c>
      <c r="V18" s="78">
        <f t="shared" si="11"/>
        <v>16</v>
      </c>
      <c r="W18" s="59">
        <f t="shared" si="12"/>
        <v>160</v>
      </c>
      <c r="X18" s="79">
        <f t="shared" si="13"/>
        <v>6.6666666666666652E-2</v>
      </c>
      <c r="Y18" s="56" t="str">
        <f>INDEX(설정!$A$15:$A$20,IF(N18*M18&gt;=O18*L18,K18,J18))</f>
        <v>사파이어</v>
      </c>
      <c r="Z18" s="39">
        <f>SUMIFS('드랍 구성'!$K$5:$K$102,'드랍 구성'!$A$5:$A$102,B18,'드랍 구성'!$B$5:$B$102,A18)</f>
        <v>6</v>
      </c>
      <c r="AA18" s="80">
        <f t="shared" si="14"/>
        <v>0</v>
      </c>
      <c r="AB18" s="59">
        <f t="shared" si="15"/>
        <v>3520</v>
      </c>
    </row>
    <row r="19" spans="1:28" x14ac:dyDescent="0.3">
      <c r="A19" s="37" t="s">
        <v>65</v>
      </c>
      <c r="B19" s="46" t="str">
        <f>'스테이지별 골드'!C19</f>
        <v>4-3</v>
      </c>
      <c r="C19" s="52">
        <f>MATCH(B19,'스테이지별 골드'!$C$5:$C$32,0)</f>
        <v>15</v>
      </c>
      <c r="D19" s="52">
        <f t="shared" si="0"/>
        <v>4</v>
      </c>
      <c r="E19" s="39">
        <f>'스테이지별 골드'!J19</f>
        <v>180</v>
      </c>
      <c r="F19" s="39">
        <f>'스테이지별 골드'!D19</f>
        <v>23</v>
      </c>
      <c r="G19" s="59">
        <f>ROUND(설정!$B$26*(1+설정!$C$26)^(C19-1)*(1+설정!$D$26)^(D19-1),0)</f>
        <v>16</v>
      </c>
      <c r="H19" s="58">
        <f t="shared" si="1"/>
        <v>11.25</v>
      </c>
      <c r="I19" s="52">
        <f>COUNTIF(설정!$C$34:$C$39,"&lt;="&amp;MAX(1,C19-설정!$E$26))</f>
        <v>4</v>
      </c>
      <c r="J19" s="52">
        <f>MIN(I19,MAX(1,COUNTIF(설정!$B$15:$B$20,"&lt;="&amp;H19)))</f>
        <v>2</v>
      </c>
      <c r="K19" s="52">
        <f t="shared" si="2"/>
        <v>3</v>
      </c>
      <c r="L19" s="59">
        <f>INDEX(설정!$B$15:$B$20,J19)</f>
        <v>5</v>
      </c>
      <c r="M19" s="59">
        <f>INDEX(설정!$B$15:$B$20,K19)</f>
        <v>25</v>
      </c>
      <c r="N19" s="59">
        <f t="shared" si="3"/>
        <v>5</v>
      </c>
      <c r="O19" s="59">
        <f t="shared" si="4"/>
        <v>11</v>
      </c>
      <c r="P19" s="59">
        <f t="shared" si="5"/>
        <v>0</v>
      </c>
      <c r="Q19" s="59">
        <f t="shared" si="6"/>
        <v>0</v>
      </c>
      <c r="R19" s="59">
        <f t="shared" si="7"/>
        <v>0</v>
      </c>
      <c r="S19" s="59">
        <f t="shared" si="8"/>
        <v>5</v>
      </c>
      <c r="T19" s="59">
        <f t="shared" si="9"/>
        <v>11</v>
      </c>
      <c r="U19" s="59">
        <f t="shared" si="10"/>
        <v>0</v>
      </c>
      <c r="V19" s="78">
        <f t="shared" si="11"/>
        <v>16</v>
      </c>
      <c r="W19" s="59">
        <f t="shared" si="12"/>
        <v>180</v>
      </c>
      <c r="X19" s="79">
        <f t="shared" si="13"/>
        <v>0</v>
      </c>
      <c r="Y19" s="56" t="str">
        <f>INDEX(설정!$A$15:$A$20,IF(N19*M19&gt;=O19*L19,K19,J19))</f>
        <v>사파이어</v>
      </c>
      <c r="Z19" s="39">
        <f>SUMIFS('드랍 구성'!$K$5:$K$102,'드랍 구성'!$A$5:$A$102,B19,'드랍 구성'!$B$5:$B$102,A19)</f>
        <v>8</v>
      </c>
      <c r="AA19" s="80">
        <f t="shared" si="14"/>
        <v>0</v>
      </c>
      <c r="AB19" s="59">
        <f t="shared" si="15"/>
        <v>4140</v>
      </c>
    </row>
    <row r="20" spans="1:28" x14ac:dyDescent="0.3">
      <c r="A20" s="37" t="s">
        <v>65</v>
      </c>
      <c r="B20" s="46" t="str">
        <f>'스테이지별 골드'!C20</f>
        <v>4-4</v>
      </c>
      <c r="C20" s="52">
        <f>MATCH(B20,'스테이지별 골드'!$C$5:$C$32,0)</f>
        <v>16</v>
      </c>
      <c r="D20" s="52">
        <f t="shared" si="0"/>
        <v>4</v>
      </c>
      <c r="E20" s="39">
        <f>'스테이지별 골드'!J20</f>
        <v>225</v>
      </c>
      <c r="F20" s="39">
        <f>'스테이지별 골드'!D20</f>
        <v>24</v>
      </c>
      <c r="G20" s="59">
        <f>ROUND(설정!$B$26*(1+설정!$C$26)^(C20-1)*(1+설정!$D$26)^(D20-1),0)</f>
        <v>16</v>
      </c>
      <c r="H20" s="58">
        <f t="shared" si="1"/>
        <v>14.0625</v>
      </c>
      <c r="I20" s="52">
        <f>COUNTIF(설정!$C$34:$C$39,"&lt;="&amp;MAX(1,C20-설정!$E$26))</f>
        <v>4</v>
      </c>
      <c r="J20" s="52">
        <f>MIN(I20,MAX(1,COUNTIF(설정!$B$15:$B$20,"&lt;="&amp;H20)))</f>
        <v>2</v>
      </c>
      <c r="K20" s="52">
        <f t="shared" si="2"/>
        <v>3</v>
      </c>
      <c r="L20" s="59">
        <f>INDEX(설정!$B$15:$B$20,J20)</f>
        <v>5</v>
      </c>
      <c r="M20" s="59">
        <f>INDEX(설정!$B$15:$B$20,K20)</f>
        <v>25</v>
      </c>
      <c r="N20" s="59">
        <f t="shared" si="3"/>
        <v>7</v>
      </c>
      <c r="O20" s="59">
        <f t="shared" si="4"/>
        <v>9</v>
      </c>
      <c r="P20" s="59">
        <f t="shared" si="5"/>
        <v>0</v>
      </c>
      <c r="Q20" s="59">
        <f t="shared" si="6"/>
        <v>0</v>
      </c>
      <c r="R20" s="59">
        <f t="shared" si="7"/>
        <v>0</v>
      </c>
      <c r="S20" s="59">
        <f t="shared" si="8"/>
        <v>7</v>
      </c>
      <c r="T20" s="59">
        <f t="shared" si="9"/>
        <v>9</v>
      </c>
      <c r="U20" s="59">
        <f t="shared" si="10"/>
        <v>0</v>
      </c>
      <c r="V20" s="78">
        <f t="shared" si="11"/>
        <v>16</v>
      </c>
      <c r="W20" s="59">
        <f t="shared" si="12"/>
        <v>220</v>
      </c>
      <c r="X20" s="79">
        <f t="shared" si="13"/>
        <v>-2.2222222222222254E-2</v>
      </c>
      <c r="Y20" s="56" t="str">
        <f>INDEX(설정!$A$15:$A$20,IF(N20*M20&gt;=O20*L20,K20,J20))</f>
        <v>사파이어</v>
      </c>
      <c r="Z20" s="39">
        <f>SUMIFS('드랍 구성'!$K$5:$K$102,'드랍 구성'!$A$5:$A$102,B20,'드랍 구성'!$B$5:$B$102,A20)</f>
        <v>9</v>
      </c>
      <c r="AA20" s="80">
        <f t="shared" si="14"/>
        <v>0</v>
      </c>
      <c r="AB20" s="59">
        <f t="shared" si="15"/>
        <v>5280</v>
      </c>
    </row>
    <row r="21" spans="1:28" x14ac:dyDescent="0.3">
      <c r="A21" s="37" t="s">
        <v>65</v>
      </c>
      <c r="B21" s="46" t="str">
        <f>'스테이지별 골드'!C21</f>
        <v>5-1</v>
      </c>
      <c r="C21" s="52">
        <f>MATCH(B21,'스테이지별 골드'!$C$5:$C$32,0)</f>
        <v>17</v>
      </c>
      <c r="D21" s="52">
        <f t="shared" si="0"/>
        <v>5</v>
      </c>
      <c r="E21" s="39">
        <f>'스테이지별 골드'!J21</f>
        <v>270</v>
      </c>
      <c r="F21" s="39">
        <f>'스테이지별 골드'!D21</f>
        <v>25</v>
      </c>
      <c r="G21" s="59">
        <f>ROUND(설정!$B$26*(1+설정!$C$26)^(C21-1)*(1+설정!$D$26)^(D21-1),0)</f>
        <v>18</v>
      </c>
      <c r="H21" s="58">
        <f t="shared" si="1"/>
        <v>15</v>
      </c>
      <c r="I21" s="52">
        <f>COUNTIF(설정!$C$34:$C$39,"&lt;="&amp;MAX(1,C21-설정!$E$26))</f>
        <v>4</v>
      </c>
      <c r="J21" s="52">
        <f>MIN(I21,MAX(1,COUNTIF(설정!$B$15:$B$20,"&lt;="&amp;H21)))</f>
        <v>2</v>
      </c>
      <c r="K21" s="52">
        <f t="shared" si="2"/>
        <v>3</v>
      </c>
      <c r="L21" s="59">
        <f>INDEX(설정!$B$15:$B$20,J21)</f>
        <v>5</v>
      </c>
      <c r="M21" s="59">
        <f>INDEX(설정!$B$15:$B$20,K21)</f>
        <v>25</v>
      </c>
      <c r="N21" s="59">
        <f t="shared" si="3"/>
        <v>9</v>
      </c>
      <c r="O21" s="59">
        <f t="shared" si="4"/>
        <v>9</v>
      </c>
      <c r="P21" s="59">
        <f t="shared" si="5"/>
        <v>0</v>
      </c>
      <c r="Q21" s="59">
        <f t="shared" si="6"/>
        <v>0</v>
      </c>
      <c r="R21" s="59">
        <f t="shared" si="7"/>
        <v>0</v>
      </c>
      <c r="S21" s="59">
        <f t="shared" si="8"/>
        <v>9</v>
      </c>
      <c r="T21" s="59">
        <f t="shared" si="9"/>
        <v>9</v>
      </c>
      <c r="U21" s="59">
        <f t="shared" si="10"/>
        <v>0</v>
      </c>
      <c r="V21" s="78">
        <f t="shared" si="11"/>
        <v>18</v>
      </c>
      <c r="W21" s="59">
        <f t="shared" si="12"/>
        <v>270</v>
      </c>
      <c r="X21" s="79">
        <f t="shared" si="13"/>
        <v>0</v>
      </c>
      <c r="Y21" s="56" t="str">
        <f>INDEX(설정!$A$15:$A$20,IF(N21*M21&gt;=O21*L21,K21,J21))</f>
        <v>사파이어</v>
      </c>
      <c r="Z21" s="39">
        <f>SUMIFS('드랍 구성'!$K$5:$K$102,'드랍 구성'!$A$5:$A$102,B21,'드랍 구성'!$B$5:$B$102,A21)</f>
        <v>14</v>
      </c>
      <c r="AA21" s="80">
        <f t="shared" si="14"/>
        <v>2</v>
      </c>
      <c r="AB21" s="59">
        <f t="shared" si="15"/>
        <v>6750</v>
      </c>
    </row>
    <row r="22" spans="1:28" x14ac:dyDescent="0.3">
      <c r="A22" s="37" t="s">
        <v>65</v>
      </c>
      <c r="B22" s="46" t="str">
        <f>'스테이지별 골드'!C22</f>
        <v>5-2</v>
      </c>
      <c r="C22" s="52">
        <f>MATCH(B22,'스테이지별 골드'!$C$5:$C$32,0)</f>
        <v>18</v>
      </c>
      <c r="D22" s="52">
        <f t="shared" si="0"/>
        <v>5</v>
      </c>
      <c r="E22" s="39">
        <f>'스테이지별 골드'!J22</f>
        <v>340</v>
      </c>
      <c r="F22" s="39">
        <f>'스테이지별 골드'!D22</f>
        <v>26</v>
      </c>
      <c r="G22" s="59">
        <f>ROUND(설정!$B$26*(1+설정!$C$26)^(C22-1)*(1+설정!$D$26)^(D22-1),0)</f>
        <v>18</v>
      </c>
      <c r="H22" s="58">
        <f t="shared" si="1"/>
        <v>18.888888888888889</v>
      </c>
      <c r="I22" s="52">
        <f>COUNTIF(설정!$C$34:$C$39,"&lt;="&amp;MAX(1,C22-설정!$E$26))</f>
        <v>4</v>
      </c>
      <c r="J22" s="52">
        <f>MIN(I22,MAX(1,COUNTIF(설정!$B$15:$B$20,"&lt;="&amp;H22)))</f>
        <v>2</v>
      </c>
      <c r="K22" s="52">
        <f t="shared" si="2"/>
        <v>3</v>
      </c>
      <c r="L22" s="59">
        <f>INDEX(설정!$B$15:$B$20,J22)</f>
        <v>5</v>
      </c>
      <c r="M22" s="59">
        <f>INDEX(설정!$B$15:$B$20,K22)</f>
        <v>25</v>
      </c>
      <c r="N22" s="59">
        <f t="shared" si="3"/>
        <v>13</v>
      </c>
      <c r="O22" s="59">
        <f t="shared" si="4"/>
        <v>5</v>
      </c>
      <c r="P22" s="59">
        <f t="shared" si="5"/>
        <v>0</v>
      </c>
      <c r="Q22" s="59">
        <f t="shared" si="6"/>
        <v>0</v>
      </c>
      <c r="R22" s="59">
        <f t="shared" si="7"/>
        <v>0</v>
      </c>
      <c r="S22" s="59">
        <f t="shared" si="8"/>
        <v>13</v>
      </c>
      <c r="T22" s="59">
        <f t="shared" si="9"/>
        <v>5</v>
      </c>
      <c r="U22" s="59">
        <f t="shared" si="10"/>
        <v>0</v>
      </c>
      <c r="V22" s="78">
        <f t="shared" si="11"/>
        <v>18</v>
      </c>
      <c r="W22" s="59">
        <f t="shared" si="12"/>
        <v>350</v>
      </c>
      <c r="X22" s="79">
        <f t="shared" si="13"/>
        <v>2.9411764705882248E-2</v>
      </c>
      <c r="Y22" s="56" t="str">
        <f>INDEX(설정!$A$15:$A$20,IF(N22*M22&gt;=O22*L22,K22,J22))</f>
        <v>사파이어</v>
      </c>
      <c r="Z22" s="39">
        <f>SUMIFS('드랍 구성'!$K$5:$K$102,'드랍 구성'!$A$5:$A$102,B22,'드랍 구성'!$B$5:$B$102,A22)</f>
        <v>16</v>
      </c>
      <c r="AA22" s="80">
        <f t="shared" si="14"/>
        <v>0</v>
      </c>
      <c r="AB22" s="59">
        <f t="shared" si="15"/>
        <v>9100</v>
      </c>
    </row>
    <row r="23" spans="1:28" x14ac:dyDescent="0.3">
      <c r="A23" s="37" t="s">
        <v>65</v>
      </c>
      <c r="B23" s="46" t="str">
        <f>'스테이지별 골드'!C23</f>
        <v>5-3</v>
      </c>
      <c r="C23" s="52">
        <f>MATCH(B23,'스테이지별 골드'!$C$5:$C$32,0)</f>
        <v>19</v>
      </c>
      <c r="D23" s="52">
        <f t="shared" si="0"/>
        <v>5</v>
      </c>
      <c r="E23" s="39">
        <f>'스테이지별 골드'!J23</f>
        <v>410</v>
      </c>
      <c r="F23" s="39">
        <f>'스테이지별 골드'!D23</f>
        <v>27</v>
      </c>
      <c r="G23" s="59">
        <f>ROUND(설정!$B$26*(1+설정!$C$26)^(C23-1)*(1+설정!$D$26)^(D23-1),0)</f>
        <v>19</v>
      </c>
      <c r="H23" s="58">
        <f t="shared" si="1"/>
        <v>21.578947368421051</v>
      </c>
      <c r="I23" s="52">
        <f>COUNTIF(설정!$C$34:$C$39,"&lt;="&amp;MAX(1,C23-설정!$E$26))</f>
        <v>4</v>
      </c>
      <c r="J23" s="52">
        <f>MIN(I23,MAX(1,COUNTIF(설정!$B$15:$B$20,"&lt;="&amp;H23)))</f>
        <v>2</v>
      </c>
      <c r="K23" s="52">
        <f t="shared" si="2"/>
        <v>3</v>
      </c>
      <c r="L23" s="59">
        <f>INDEX(설정!$B$15:$B$20,J23)</f>
        <v>5</v>
      </c>
      <c r="M23" s="59">
        <f>INDEX(설정!$B$15:$B$20,K23)</f>
        <v>25</v>
      </c>
      <c r="N23" s="59">
        <f t="shared" si="3"/>
        <v>16</v>
      </c>
      <c r="O23" s="59">
        <f t="shared" si="4"/>
        <v>3</v>
      </c>
      <c r="P23" s="59">
        <f t="shared" si="5"/>
        <v>0</v>
      </c>
      <c r="Q23" s="59">
        <f t="shared" si="6"/>
        <v>0</v>
      </c>
      <c r="R23" s="59">
        <f t="shared" si="7"/>
        <v>0</v>
      </c>
      <c r="S23" s="59">
        <f t="shared" si="8"/>
        <v>16</v>
      </c>
      <c r="T23" s="59">
        <f t="shared" si="9"/>
        <v>3</v>
      </c>
      <c r="U23" s="59">
        <f t="shared" si="10"/>
        <v>0</v>
      </c>
      <c r="V23" s="78">
        <f t="shared" si="11"/>
        <v>19</v>
      </c>
      <c r="W23" s="59">
        <f t="shared" si="12"/>
        <v>415</v>
      </c>
      <c r="X23" s="79">
        <f t="shared" si="13"/>
        <v>1.2195121951219523E-2</v>
      </c>
      <c r="Y23" s="56" t="str">
        <f>INDEX(설정!$A$15:$A$20,IF(N23*M23&gt;=O23*L23,K23,J23))</f>
        <v>사파이어</v>
      </c>
      <c r="Z23" s="39">
        <f>SUMIFS('드랍 구성'!$K$5:$K$102,'드랍 구성'!$A$5:$A$102,B23,'드랍 구성'!$B$5:$B$102,A23)</f>
        <v>18</v>
      </c>
      <c r="AA23" s="80">
        <f t="shared" si="14"/>
        <v>1</v>
      </c>
      <c r="AB23" s="59">
        <f t="shared" si="15"/>
        <v>11205</v>
      </c>
    </row>
    <row r="24" spans="1:28" x14ac:dyDescent="0.3">
      <c r="A24" s="37" t="s">
        <v>65</v>
      </c>
      <c r="B24" s="46" t="str">
        <f>'스테이지별 골드'!C24</f>
        <v>5-4</v>
      </c>
      <c r="C24" s="52">
        <f>MATCH(B24,'스테이지별 골드'!$C$5:$C$32,0)</f>
        <v>20</v>
      </c>
      <c r="D24" s="52">
        <f t="shared" si="0"/>
        <v>5</v>
      </c>
      <c r="E24" s="39">
        <f>'스테이지별 골드'!J24</f>
        <v>510</v>
      </c>
      <c r="F24" s="39">
        <f>'스테이지별 골드'!D24</f>
        <v>28</v>
      </c>
      <c r="G24" s="59">
        <f>ROUND(설정!$B$26*(1+설정!$C$26)^(C24-1)*(1+설정!$D$26)^(D24-1),0)</f>
        <v>19</v>
      </c>
      <c r="H24" s="58">
        <f t="shared" si="1"/>
        <v>26.842105263157894</v>
      </c>
      <c r="I24" s="52">
        <f>COUNTIF(설정!$C$34:$C$39,"&lt;="&amp;MAX(1,C24-설정!$E$26))</f>
        <v>4</v>
      </c>
      <c r="J24" s="52">
        <f>MIN(I24,MAX(1,COUNTIF(설정!$B$15:$B$20,"&lt;="&amp;H24)))</f>
        <v>3</v>
      </c>
      <c r="K24" s="52">
        <f t="shared" si="2"/>
        <v>4</v>
      </c>
      <c r="L24" s="59">
        <f>INDEX(설정!$B$15:$B$20,J24)</f>
        <v>25</v>
      </c>
      <c r="M24" s="59">
        <f>INDEX(설정!$B$15:$B$20,K24)</f>
        <v>100</v>
      </c>
      <c r="N24" s="59">
        <f t="shared" si="3"/>
        <v>0</v>
      </c>
      <c r="O24" s="59">
        <f t="shared" si="4"/>
        <v>19</v>
      </c>
      <c r="P24" s="59">
        <f t="shared" si="5"/>
        <v>0</v>
      </c>
      <c r="Q24" s="59">
        <f t="shared" si="6"/>
        <v>0</v>
      </c>
      <c r="R24" s="59">
        <f t="shared" si="7"/>
        <v>0</v>
      </c>
      <c r="S24" s="59">
        <f t="shared" si="8"/>
        <v>19</v>
      </c>
      <c r="T24" s="59">
        <f t="shared" si="9"/>
        <v>0</v>
      </c>
      <c r="U24" s="59">
        <f t="shared" si="10"/>
        <v>0</v>
      </c>
      <c r="V24" s="78">
        <f t="shared" si="11"/>
        <v>19</v>
      </c>
      <c r="W24" s="59">
        <f t="shared" si="12"/>
        <v>475</v>
      </c>
      <c r="X24" s="79">
        <f t="shared" si="13"/>
        <v>-6.8627450980392135E-2</v>
      </c>
      <c r="Y24" s="56" t="str">
        <f>INDEX(설정!$A$15:$A$20,IF(N24*M24&gt;=O24*L24,K24,J24))</f>
        <v>사파이어</v>
      </c>
      <c r="Z24" s="39">
        <f>SUMIFS('드랍 구성'!$K$5:$K$102,'드랍 구성'!$A$5:$A$102,B24,'드랍 구성'!$B$5:$B$102,A24)</f>
        <v>7</v>
      </c>
      <c r="AA24" s="80">
        <f t="shared" si="14"/>
        <v>0</v>
      </c>
      <c r="AB24" s="59">
        <f t="shared" si="15"/>
        <v>13300</v>
      </c>
    </row>
    <row r="25" spans="1:28" x14ac:dyDescent="0.3">
      <c r="A25" s="37" t="s">
        <v>65</v>
      </c>
      <c r="B25" s="46" t="str">
        <f>'스테이지별 골드'!C25</f>
        <v>6-1</v>
      </c>
      <c r="C25" s="52">
        <f>MATCH(B25,'스테이지별 골드'!$C$5:$C$32,0)</f>
        <v>21</v>
      </c>
      <c r="D25" s="52">
        <f t="shared" si="0"/>
        <v>6</v>
      </c>
      <c r="E25" s="39">
        <f>'스테이지별 골드'!J25</f>
        <v>620</v>
      </c>
      <c r="F25" s="39">
        <f>'스테이지별 골드'!D25</f>
        <v>29</v>
      </c>
      <c r="G25" s="59">
        <f>ROUND(설정!$B$26*(1+설정!$C$26)^(C25-1)*(1+설정!$D$26)^(D25-1),0)</f>
        <v>21</v>
      </c>
      <c r="H25" s="58">
        <f t="shared" si="1"/>
        <v>29.523809523809526</v>
      </c>
      <c r="I25" s="52">
        <f>COUNTIF(설정!$C$34:$C$39,"&lt;="&amp;MAX(1,C25-설정!$E$26))</f>
        <v>5</v>
      </c>
      <c r="J25" s="52">
        <f>MIN(I25,MAX(1,COUNTIF(설정!$B$15:$B$20,"&lt;="&amp;H25)))</f>
        <v>3</v>
      </c>
      <c r="K25" s="52">
        <f t="shared" si="2"/>
        <v>4</v>
      </c>
      <c r="L25" s="59">
        <f>INDEX(설정!$B$15:$B$20,J25)</f>
        <v>25</v>
      </c>
      <c r="M25" s="59">
        <f>INDEX(설정!$B$15:$B$20,K25)</f>
        <v>100</v>
      </c>
      <c r="N25" s="59">
        <f t="shared" si="3"/>
        <v>1</v>
      </c>
      <c r="O25" s="59">
        <f t="shared" si="4"/>
        <v>20</v>
      </c>
      <c r="P25" s="59">
        <f t="shared" si="5"/>
        <v>0</v>
      </c>
      <c r="Q25" s="59">
        <f t="shared" si="6"/>
        <v>0</v>
      </c>
      <c r="R25" s="59">
        <f t="shared" si="7"/>
        <v>1</v>
      </c>
      <c r="S25" s="59">
        <f t="shared" si="8"/>
        <v>20</v>
      </c>
      <c r="T25" s="59">
        <f t="shared" si="9"/>
        <v>0</v>
      </c>
      <c r="U25" s="59">
        <f t="shared" si="10"/>
        <v>0</v>
      </c>
      <c r="V25" s="78">
        <f t="shared" si="11"/>
        <v>21</v>
      </c>
      <c r="W25" s="59">
        <f t="shared" si="12"/>
        <v>600</v>
      </c>
      <c r="X25" s="79">
        <f t="shared" si="13"/>
        <v>-3.2258064516129004E-2</v>
      </c>
      <c r="Y25" s="56" t="str">
        <f>INDEX(설정!$A$15:$A$20,IF(N25*M25&gt;=O25*L25,K25,J25))</f>
        <v>사파이어</v>
      </c>
      <c r="Z25" s="39">
        <f>SUMIFS('드랍 구성'!$K$5:$K$102,'드랍 구성'!$A$5:$A$102,B25,'드랍 구성'!$B$5:$B$102,A25)</f>
        <v>10</v>
      </c>
      <c r="AA25" s="80">
        <f t="shared" si="14"/>
        <v>2</v>
      </c>
      <c r="AB25" s="59">
        <f t="shared" si="15"/>
        <v>17400</v>
      </c>
    </row>
    <row r="26" spans="1:28" x14ac:dyDescent="0.3">
      <c r="A26" s="37" t="s">
        <v>65</v>
      </c>
      <c r="B26" s="46" t="str">
        <f>'스테이지별 골드'!C26</f>
        <v>6-2</v>
      </c>
      <c r="C26" s="52">
        <f>MATCH(B26,'스테이지별 골드'!$C$5:$C$32,0)</f>
        <v>22</v>
      </c>
      <c r="D26" s="52">
        <f t="shared" si="0"/>
        <v>6</v>
      </c>
      <c r="E26" s="39">
        <f>'스테이지별 골드'!J26</f>
        <v>770</v>
      </c>
      <c r="F26" s="39">
        <f>'스테이지별 골드'!D26</f>
        <v>30</v>
      </c>
      <c r="G26" s="59">
        <f>ROUND(설정!$B$26*(1+설정!$C$26)^(C26-1)*(1+설정!$D$26)^(D26-1),0)</f>
        <v>21</v>
      </c>
      <c r="H26" s="58">
        <f t="shared" si="1"/>
        <v>36.666666666666664</v>
      </c>
      <c r="I26" s="52">
        <f>COUNTIF(설정!$C$34:$C$39,"&lt;="&amp;MAX(1,C26-설정!$E$26))</f>
        <v>5</v>
      </c>
      <c r="J26" s="52">
        <f>MIN(I26,MAX(1,COUNTIF(설정!$B$15:$B$20,"&lt;="&amp;H26)))</f>
        <v>3</v>
      </c>
      <c r="K26" s="52">
        <f t="shared" si="2"/>
        <v>4</v>
      </c>
      <c r="L26" s="59">
        <f>INDEX(설정!$B$15:$B$20,J26)</f>
        <v>25</v>
      </c>
      <c r="M26" s="59">
        <f>INDEX(설정!$B$15:$B$20,K26)</f>
        <v>100</v>
      </c>
      <c r="N26" s="59">
        <f t="shared" si="3"/>
        <v>3</v>
      </c>
      <c r="O26" s="59">
        <f t="shared" si="4"/>
        <v>18</v>
      </c>
      <c r="P26" s="59">
        <f t="shared" si="5"/>
        <v>0</v>
      </c>
      <c r="Q26" s="59">
        <f t="shared" si="6"/>
        <v>0</v>
      </c>
      <c r="R26" s="59">
        <f t="shared" si="7"/>
        <v>3</v>
      </c>
      <c r="S26" s="59">
        <f t="shared" si="8"/>
        <v>18</v>
      </c>
      <c r="T26" s="59">
        <f t="shared" si="9"/>
        <v>0</v>
      </c>
      <c r="U26" s="59">
        <f t="shared" si="10"/>
        <v>0</v>
      </c>
      <c r="V26" s="78">
        <f t="shared" si="11"/>
        <v>21</v>
      </c>
      <c r="W26" s="59">
        <f t="shared" si="12"/>
        <v>750</v>
      </c>
      <c r="X26" s="79">
        <f t="shared" si="13"/>
        <v>-2.5974025974025983E-2</v>
      </c>
      <c r="Y26" s="56" t="str">
        <f>INDEX(설정!$A$15:$A$20,IF(N26*M26&gt;=O26*L26,K26,J26))</f>
        <v>사파이어</v>
      </c>
      <c r="Z26" s="39">
        <f>SUMIFS('드랍 구성'!$K$5:$K$102,'드랍 구성'!$A$5:$A$102,B26,'드랍 구성'!$B$5:$B$102,A26)</f>
        <v>13</v>
      </c>
      <c r="AA26" s="80">
        <f t="shared" si="14"/>
        <v>0</v>
      </c>
      <c r="AB26" s="59">
        <f t="shared" si="15"/>
        <v>22500</v>
      </c>
    </row>
    <row r="27" spans="1:28" x14ac:dyDescent="0.3">
      <c r="A27" s="37" t="s">
        <v>65</v>
      </c>
      <c r="B27" s="46" t="str">
        <f>'스테이지별 골드'!C27</f>
        <v>6-3</v>
      </c>
      <c r="C27" s="52">
        <f>MATCH(B27,'스테이지별 골드'!$C$5:$C$32,0)</f>
        <v>23</v>
      </c>
      <c r="D27" s="52">
        <f t="shared" si="0"/>
        <v>6</v>
      </c>
      <c r="E27" s="39">
        <f>'스테이지별 골드'!J27</f>
        <v>930</v>
      </c>
      <c r="F27" s="39">
        <f>'스테이지별 골드'!D27</f>
        <v>31</v>
      </c>
      <c r="G27" s="59">
        <f>ROUND(설정!$B$26*(1+설정!$C$26)^(C27-1)*(1+설정!$D$26)^(D27-1),0)</f>
        <v>22</v>
      </c>
      <c r="H27" s="58">
        <f t="shared" si="1"/>
        <v>42.272727272727273</v>
      </c>
      <c r="I27" s="52">
        <f>COUNTIF(설정!$C$34:$C$39,"&lt;="&amp;MAX(1,C27-설정!$E$26))</f>
        <v>5</v>
      </c>
      <c r="J27" s="52">
        <f>MIN(I27,MAX(1,COUNTIF(설정!$B$15:$B$20,"&lt;="&amp;H27)))</f>
        <v>3</v>
      </c>
      <c r="K27" s="52">
        <f t="shared" si="2"/>
        <v>4</v>
      </c>
      <c r="L27" s="59">
        <f>INDEX(설정!$B$15:$B$20,J27)</f>
        <v>25</v>
      </c>
      <c r="M27" s="59">
        <f>INDEX(설정!$B$15:$B$20,K27)</f>
        <v>100</v>
      </c>
      <c r="N27" s="59">
        <f t="shared" si="3"/>
        <v>5</v>
      </c>
      <c r="O27" s="59">
        <f t="shared" si="4"/>
        <v>17</v>
      </c>
      <c r="P27" s="59">
        <f t="shared" si="5"/>
        <v>0</v>
      </c>
      <c r="Q27" s="59">
        <f t="shared" si="6"/>
        <v>0</v>
      </c>
      <c r="R27" s="59">
        <f t="shared" si="7"/>
        <v>5</v>
      </c>
      <c r="S27" s="59">
        <f t="shared" si="8"/>
        <v>17</v>
      </c>
      <c r="T27" s="59">
        <f t="shared" si="9"/>
        <v>0</v>
      </c>
      <c r="U27" s="59">
        <f t="shared" si="10"/>
        <v>0</v>
      </c>
      <c r="V27" s="78">
        <f t="shared" si="11"/>
        <v>22</v>
      </c>
      <c r="W27" s="59">
        <f t="shared" si="12"/>
        <v>925</v>
      </c>
      <c r="X27" s="79">
        <f t="shared" si="13"/>
        <v>-5.3763440860215006E-3</v>
      </c>
      <c r="Y27" s="56" t="str">
        <f>INDEX(설정!$A$15:$A$20,IF(N27*M27&gt;=O27*L27,K27,J27))</f>
        <v>루비</v>
      </c>
      <c r="Z27" s="39">
        <f>SUMIFS('드랍 구성'!$K$5:$K$102,'드랍 구성'!$A$5:$A$102,B27,'드랍 구성'!$B$5:$B$102,A27)</f>
        <v>11</v>
      </c>
      <c r="AA27" s="80">
        <f t="shared" si="14"/>
        <v>1</v>
      </c>
      <c r="AB27" s="59">
        <f t="shared" si="15"/>
        <v>28675</v>
      </c>
    </row>
    <row r="28" spans="1:28" x14ac:dyDescent="0.3">
      <c r="A28" s="37" t="s">
        <v>65</v>
      </c>
      <c r="B28" s="46" t="str">
        <f>'스테이지별 골드'!C28</f>
        <v>6-4</v>
      </c>
      <c r="C28" s="52">
        <f>MATCH(B28,'스테이지별 골드'!$C$5:$C$32,0)</f>
        <v>24</v>
      </c>
      <c r="D28" s="52">
        <f t="shared" si="0"/>
        <v>6</v>
      </c>
      <c r="E28" s="39">
        <f>'스테이지별 골드'!J28</f>
        <v>1160</v>
      </c>
      <c r="F28" s="39">
        <f>'스테이지별 골드'!D28</f>
        <v>32</v>
      </c>
      <c r="G28" s="59">
        <f>ROUND(설정!$B$26*(1+설정!$C$26)^(C28-1)*(1+설정!$D$26)^(D28-1),0)</f>
        <v>22</v>
      </c>
      <c r="H28" s="58">
        <f t="shared" si="1"/>
        <v>52.727272727272727</v>
      </c>
      <c r="I28" s="52">
        <f>COUNTIF(설정!$C$34:$C$39,"&lt;="&amp;MAX(1,C28-설정!$E$26))</f>
        <v>5</v>
      </c>
      <c r="J28" s="52">
        <f>MIN(I28,MAX(1,COUNTIF(설정!$B$15:$B$20,"&lt;="&amp;H28)))</f>
        <v>3</v>
      </c>
      <c r="K28" s="52">
        <f t="shared" si="2"/>
        <v>4</v>
      </c>
      <c r="L28" s="59">
        <f>INDEX(설정!$B$15:$B$20,J28)</f>
        <v>25</v>
      </c>
      <c r="M28" s="59">
        <f>INDEX(설정!$B$15:$B$20,K28)</f>
        <v>100</v>
      </c>
      <c r="N28" s="59">
        <f t="shared" si="3"/>
        <v>8</v>
      </c>
      <c r="O28" s="59">
        <f t="shared" si="4"/>
        <v>14</v>
      </c>
      <c r="P28" s="59">
        <f t="shared" si="5"/>
        <v>0</v>
      </c>
      <c r="Q28" s="59">
        <f t="shared" si="6"/>
        <v>0</v>
      </c>
      <c r="R28" s="59">
        <f t="shared" si="7"/>
        <v>8</v>
      </c>
      <c r="S28" s="59">
        <f t="shared" si="8"/>
        <v>14</v>
      </c>
      <c r="T28" s="59">
        <f t="shared" si="9"/>
        <v>0</v>
      </c>
      <c r="U28" s="59">
        <f t="shared" si="10"/>
        <v>0</v>
      </c>
      <c r="V28" s="78">
        <f t="shared" si="11"/>
        <v>22</v>
      </c>
      <c r="W28" s="59">
        <f t="shared" si="12"/>
        <v>1150</v>
      </c>
      <c r="X28" s="79">
        <f t="shared" si="13"/>
        <v>-8.6206896551723755E-3</v>
      </c>
      <c r="Y28" s="56" t="str">
        <f>INDEX(설정!$A$15:$A$20,IF(N28*M28&gt;=O28*L28,K28,J28))</f>
        <v>루비</v>
      </c>
      <c r="Z28" s="39">
        <f>SUMIFS('드랍 구성'!$K$5:$K$102,'드랍 구성'!$A$5:$A$102,B28,'드랍 구성'!$B$5:$B$102,A28)</f>
        <v>15</v>
      </c>
      <c r="AA28" s="80">
        <f t="shared" si="14"/>
        <v>0</v>
      </c>
      <c r="AB28" s="59">
        <f t="shared" si="15"/>
        <v>36800</v>
      </c>
    </row>
    <row r="29" spans="1:28" x14ac:dyDescent="0.3">
      <c r="A29" s="37" t="s">
        <v>65</v>
      </c>
      <c r="B29" s="46" t="str">
        <f>'스테이지별 골드'!C29</f>
        <v>7-1</v>
      </c>
      <c r="C29" s="52">
        <f>MATCH(B29,'스테이지별 골드'!$C$5:$C$32,0)</f>
        <v>25</v>
      </c>
      <c r="D29" s="52">
        <f t="shared" si="0"/>
        <v>7</v>
      </c>
      <c r="E29" s="39">
        <f>'스테이지별 골드'!J29</f>
        <v>1400</v>
      </c>
      <c r="F29" s="39">
        <f>'스테이지별 골드'!D29</f>
        <v>33</v>
      </c>
      <c r="G29" s="59">
        <f>ROUND(설정!$B$26*(1+설정!$C$26)^(C29-1)*(1+설정!$D$26)^(D29-1),0)</f>
        <v>24</v>
      </c>
      <c r="H29" s="58">
        <f t="shared" si="1"/>
        <v>58.333333333333336</v>
      </c>
      <c r="I29" s="52">
        <f>COUNTIF(설정!$C$34:$C$39,"&lt;="&amp;MAX(1,C29-설정!$E$26))</f>
        <v>5</v>
      </c>
      <c r="J29" s="52">
        <f>MIN(I29,MAX(1,COUNTIF(설정!$B$15:$B$20,"&lt;="&amp;H29)))</f>
        <v>3</v>
      </c>
      <c r="K29" s="52">
        <f t="shared" si="2"/>
        <v>4</v>
      </c>
      <c r="L29" s="59">
        <f>INDEX(설정!$B$15:$B$20,J29)</f>
        <v>25</v>
      </c>
      <c r="M29" s="59">
        <f>INDEX(설정!$B$15:$B$20,K29)</f>
        <v>100</v>
      </c>
      <c r="N29" s="59">
        <f t="shared" si="3"/>
        <v>11</v>
      </c>
      <c r="O29" s="59">
        <f t="shared" si="4"/>
        <v>13</v>
      </c>
      <c r="P29" s="59">
        <f t="shared" si="5"/>
        <v>0</v>
      </c>
      <c r="Q29" s="59">
        <f t="shared" si="6"/>
        <v>0</v>
      </c>
      <c r="R29" s="59">
        <f t="shared" si="7"/>
        <v>11</v>
      </c>
      <c r="S29" s="59">
        <f t="shared" si="8"/>
        <v>13</v>
      </c>
      <c r="T29" s="59">
        <f t="shared" si="9"/>
        <v>0</v>
      </c>
      <c r="U29" s="59">
        <f t="shared" si="10"/>
        <v>0</v>
      </c>
      <c r="V29" s="78">
        <f t="shared" si="11"/>
        <v>24</v>
      </c>
      <c r="W29" s="59">
        <f t="shared" si="12"/>
        <v>1425</v>
      </c>
      <c r="X29" s="79">
        <f t="shared" si="13"/>
        <v>1.7857142857142794E-2</v>
      </c>
      <c r="Y29" s="56" t="str">
        <f>INDEX(설정!$A$15:$A$20,IF(N29*M29&gt;=O29*L29,K29,J29))</f>
        <v>루비</v>
      </c>
      <c r="Z29" s="39">
        <f>SUMIFS('드랍 구성'!$K$5:$K$102,'드랍 구성'!$A$5:$A$102,B29,'드랍 구성'!$B$5:$B$102,A29)</f>
        <v>14</v>
      </c>
      <c r="AA29" s="80">
        <f t="shared" si="14"/>
        <v>2</v>
      </c>
      <c r="AB29" s="59">
        <f t="shared" si="15"/>
        <v>47025</v>
      </c>
    </row>
    <row r="30" spans="1:28" x14ac:dyDescent="0.3">
      <c r="A30" s="37" t="s">
        <v>65</v>
      </c>
      <c r="B30" s="46" t="str">
        <f>'스테이지별 골드'!C30</f>
        <v>7-2</v>
      </c>
      <c r="C30" s="52">
        <f>MATCH(B30,'스테이지별 골드'!$C$5:$C$32,0)</f>
        <v>26</v>
      </c>
      <c r="D30" s="52">
        <f t="shared" si="0"/>
        <v>7</v>
      </c>
      <c r="E30" s="39">
        <f>'스테이지별 골드'!J30</f>
        <v>1750</v>
      </c>
      <c r="F30" s="39">
        <f>'스테이지별 골드'!D30</f>
        <v>34</v>
      </c>
      <c r="G30" s="59">
        <f>ROUND(설정!$B$26*(1+설정!$C$26)^(C30-1)*(1+설정!$D$26)^(D30-1),0)</f>
        <v>25</v>
      </c>
      <c r="H30" s="58">
        <f t="shared" si="1"/>
        <v>70</v>
      </c>
      <c r="I30" s="52">
        <f>COUNTIF(설정!$C$34:$C$39,"&lt;="&amp;MAX(1,C30-설정!$E$26))</f>
        <v>5</v>
      </c>
      <c r="J30" s="52">
        <f>MIN(I30,MAX(1,COUNTIF(설정!$B$15:$B$20,"&lt;="&amp;H30)))</f>
        <v>3</v>
      </c>
      <c r="K30" s="52">
        <f t="shared" si="2"/>
        <v>4</v>
      </c>
      <c r="L30" s="59">
        <f>INDEX(설정!$B$15:$B$20,J30)</f>
        <v>25</v>
      </c>
      <c r="M30" s="59">
        <f>INDEX(설정!$B$15:$B$20,K30)</f>
        <v>100</v>
      </c>
      <c r="N30" s="59">
        <f t="shared" si="3"/>
        <v>15</v>
      </c>
      <c r="O30" s="59">
        <f t="shared" si="4"/>
        <v>10</v>
      </c>
      <c r="P30" s="59">
        <f t="shared" si="5"/>
        <v>0</v>
      </c>
      <c r="Q30" s="59">
        <f t="shared" si="6"/>
        <v>0</v>
      </c>
      <c r="R30" s="59">
        <f t="shared" si="7"/>
        <v>15</v>
      </c>
      <c r="S30" s="59">
        <f t="shared" si="8"/>
        <v>10</v>
      </c>
      <c r="T30" s="59">
        <f t="shared" si="9"/>
        <v>0</v>
      </c>
      <c r="U30" s="59">
        <f t="shared" si="10"/>
        <v>0</v>
      </c>
      <c r="V30" s="78">
        <f t="shared" si="11"/>
        <v>25</v>
      </c>
      <c r="W30" s="59">
        <f t="shared" si="12"/>
        <v>1750</v>
      </c>
      <c r="X30" s="79">
        <f t="shared" si="13"/>
        <v>0</v>
      </c>
      <c r="Y30" s="56" t="str">
        <f>INDEX(설정!$A$15:$A$20,IF(N30*M30&gt;=O30*L30,K30,J30))</f>
        <v>루비</v>
      </c>
      <c r="Z30" s="39">
        <f>SUMIFS('드랍 구성'!$K$5:$K$102,'드랍 구성'!$A$5:$A$102,B30,'드랍 구성'!$B$5:$B$102,A30)</f>
        <v>19</v>
      </c>
      <c r="AA30" s="80">
        <f t="shared" si="14"/>
        <v>1</v>
      </c>
      <c r="AB30" s="59">
        <f t="shared" si="15"/>
        <v>59500</v>
      </c>
    </row>
    <row r="31" spans="1:28" x14ac:dyDescent="0.3">
      <c r="A31" s="37" t="s">
        <v>65</v>
      </c>
      <c r="B31" s="46" t="str">
        <f>'스테이지별 골드'!C31</f>
        <v>7-3</v>
      </c>
      <c r="C31" s="52">
        <f>MATCH(B31,'스테이지별 골드'!$C$5:$C$32,0)</f>
        <v>27</v>
      </c>
      <c r="D31" s="52">
        <f t="shared" si="0"/>
        <v>7</v>
      </c>
      <c r="E31" s="39">
        <f>'스테이지별 골드'!J31</f>
        <v>2100</v>
      </c>
      <c r="F31" s="39">
        <f>'스테이지별 골드'!D31</f>
        <v>35</v>
      </c>
      <c r="G31" s="59">
        <f>ROUND(설정!$B$26*(1+설정!$C$26)^(C31-1)*(1+설정!$D$26)^(D31-1),0)</f>
        <v>25</v>
      </c>
      <c r="H31" s="58">
        <f t="shared" si="1"/>
        <v>84</v>
      </c>
      <c r="I31" s="52">
        <f>COUNTIF(설정!$C$34:$C$39,"&lt;="&amp;MAX(1,C31-설정!$E$26))</f>
        <v>5</v>
      </c>
      <c r="J31" s="52">
        <f>MIN(I31,MAX(1,COUNTIF(설정!$B$15:$B$20,"&lt;="&amp;H31)))</f>
        <v>3</v>
      </c>
      <c r="K31" s="52">
        <f t="shared" si="2"/>
        <v>4</v>
      </c>
      <c r="L31" s="59">
        <f>INDEX(설정!$B$15:$B$20,J31)</f>
        <v>25</v>
      </c>
      <c r="M31" s="59">
        <f>INDEX(설정!$B$15:$B$20,K31)</f>
        <v>100</v>
      </c>
      <c r="N31" s="59">
        <f t="shared" si="3"/>
        <v>20</v>
      </c>
      <c r="O31" s="59">
        <f t="shared" si="4"/>
        <v>5</v>
      </c>
      <c r="P31" s="59">
        <f t="shared" si="5"/>
        <v>0</v>
      </c>
      <c r="Q31" s="59">
        <f t="shared" si="6"/>
        <v>0</v>
      </c>
      <c r="R31" s="59">
        <f t="shared" si="7"/>
        <v>20</v>
      </c>
      <c r="S31" s="59">
        <f t="shared" si="8"/>
        <v>5</v>
      </c>
      <c r="T31" s="59">
        <f t="shared" si="9"/>
        <v>0</v>
      </c>
      <c r="U31" s="59">
        <f t="shared" si="10"/>
        <v>0</v>
      </c>
      <c r="V31" s="78">
        <f t="shared" si="11"/>
        <v>25</v>
      </c>
      <c r="W31" s="59">
        <f t="shared" si="12"/>
        <v>2125</v>
      </c>
      <c r="X31" s="79">
        <f t="shared" si="13"/>
        <v>1.1904761904761862E-2</v>
      </c>
      <c r="Y31" s="56" t="str">
        <f>INDEX(설정!$A$15:$A$20,IF(N31*M31&gt;=O31*L31,K31,J31))</f>
        <v>루비</v>
      </c>
      <c r="Z31" s="39">
        <f>SUMIFS('드랍 구성'!$K$5:$K$102,'드랍 구성'!$A$5:$A$102,B31,'드랍 구성'!$B$5:$B$102,A31)</f>
        <v>21</v>
      </c>
      <c r="AA31" s="80">
        <f t="shared" si="14"/>
        <v>0</v>
      </c>
      <c r="AB31" s="59">
        <f t="shared" si="15"/>
        <v>74375</v>
      </c>
    </row>
    <row r="32" spans="1:28" x14ac:dyDescent="0.3">
      <c r="A32" s="37" t="s">
        <v>65</v>
      </c>
      <c r="B32" s="46" t="str">
        <f>'스테이지별 골드'!C32</f>
        <v>7-4</v>
      </c>
      <c r="C32" s="52">
        <f>MATCH(B32,'스테이지별 골드'!$C$5:$C$32,0)</f>
        <v>28</v>
      </c>
      <c r="D32" s="52">
        <f t="shared" si="0"/>
        <v>7</v>
      </c>
      <c r="E32" s="39">
        <f>'스테이지별 골드'!J32</f>
        <v>2600</v>
      </c>
      <c r="F32" s="39">
        <f>'스테이지별 골드'!D32</f>
        <v>36</v>
      </c>
      <c r="G32" s="59">
        <f>ROUND(설정!$B$26*(1+설정!$C$26)^(C32-1)*(1+설정!$D$26)^(D32-1),0)</f>
        <v>26</v>
      </c>
      <c r="H32" s="58">
        <f t="shared" si="1"/>
        <v>100</v>
      </c>
      <c r="I32" s="52">
        <f>COUNTIF(설정!$C$34:$C$39,"&lt;="&amp;MAX(1,C32-설정!$E$26))</f>
        <v>5</v>
      </c>
      <c r="J32" s="52">
        <f>MIN(I32,MAX(1,COUNTIF(설정!$B$15:$B$20,"&lt;="&amp;H32)))</f>
        <v>4</v>
      </c>
      <c r="K32" s="52">
        <f t="shared" si="2"/>
        <v>5</v>
      </c>
      <c r="L32" s="59">
        <f>INDEX(설정!$B$15:$B$20,J32)</f>
        <v>100</v>
      </c>
      <c r="M32" s="59">
        <f>INDEX(설정!$B$15:$B$20,K32)</f>
        <v>500</v>
      </c>
      <c r="N32" s="59">
        <f t="shared" si="3"/>
        <v>0</v>
      </c>
      <c r="O32" s="59">
        <f t="shared" si="4"/>
        <v>26</v>
      </c>
      <c r="P32" s="59">
        <f t="shared" si="5"/>
        <v>0</v>
      </c>
      <c r="Q32" s="59">
        <f t="shared" si="6"/>
        <v>0</v>
      </c>
      <c r="R32" s="59">
        <f t="shared" si="7"/>
        <v>26</v>
      </c>
      <c r="S32" s="59">
        <f t="shared" si="8"/>
        <v>0</v>
      </c>
      <c r="T32" s="59">
        <f t="shared" si="9"/>
        <v>0</v>
      </c>
      <c r="U32" s="59">
        <f t="shared" si="10"/>
        <v>0</v>
      </c>
      <c r="V32" s="78">
        <f t="shared" si="11"/>
        <v>26</v>
      </c>
      <c r="W32" s="59">
        <f t="shared" si="12"/>
        <v>2600</v>
      </c>
      <c r="X32" s="79">
        <f t="shared" si="13"/>
        <v>0</v>
      </c>
      <c r="Y32" s="56" t="str">
        <f>INDEX(설정!$A$15:$A$20,IF(N32*M32&gt;=O32*L32,K32,J32))</f>
        <v>루비</v>
      </c>
      <c r="Z32" s="39">
        <f>SUMIFS('드랍 구성'!$K$5:$K$102,'드랍 구성'!$A$5:$A$102,B32,'드랍 구성'!$B$5:$B$102,A32)</f>
        <v>6</v>
      </c>
      <c r="AA32" s="80">
        <f t="shared" si="14"/>
        <v>1</v>
      </c>
      <c r="AB32" s="59">
        <f t="shared" si="15"/>
        <v>93600</v>
      </c>
    </row>
    <row r="33" spans="1:28" x14ac:dyDescent="0.3">
      <c r="A33" s="68" t="s">
        <v>66</v>
      </c>
      <c r="B33" s="69" t="str">
        <f>'스테이지별 골드'!C5</f>
        <v>1-1</v>
      </c>
      <c r="C33" s="70">
        <f>MATCH(B33,'스테이지별 골드'!$C$5:$C$32,0)</f>
        <v>1</v>
      </c>
      <c r="D33" s="70">
        <f t="shared" si="0"/>
        <v>1</v>
      </c>
      <c r="E33" s="71">
        <f>'스테이지별 골드'!K5</f>
        <v>16</v>
      </c>
      <c r="F33" s="71">
        <f>'스테이지별 골드'!E5</f>
        <v>1</v>
      </c>
      <c r="G33" s="72">
        <f>ROUND(설정!$B$27*(1+설정!$C$27)^(C33-1)*(1+설정!$D$27)^(D33-1),0)</f>
        <v>12</v>
      </c>
      <c r="H33" s="73">
        <f t="shared" si="1"/>
        <v>1.3333333333333333</v>
      </c>
      <c r="I33" s="70">
        <f>COUNTIF(설정!$C$34:$C$39,"&lt;="&amp;MAX(1,C33-설정!$E$27))</f>
        <v>2</v>
      </c>
      <c r="J33" s="70">
        <f>MIN(I33,MAX(1,COUNTIF(설정!$B$15:$B$20,"&lt;="&amp;H33)))</f>
        <v>1</v>
      </c>
      <c r="K33" s="70">
        <f t="shared" si="2"/>
        <v>2</v>
      </c>
      <c r="L33" s="72">
        <f>INDEX(설정!$B$15:$B$20,J33)</f>
        <v>1</v>
      </c>
      <c r="M33" s="72">
        <f>INDEX(설정!$B$15:$B$20,K33)</f>
        <v>5</v>
      </c>
      <c r="N33" s="72">
        <f t="shared" si="3"/>
        <v>1</v>
      </c>
      <c r="O33" s="72">
        <f t="shared" si="4"/>
        <v>11</v>
      </c>
      <c r="P33" s="72">
        <f t="shared" si="5"/>
        <v>0</v>
      </c>
      <c r="Q33" s="72">
        <f t="shared" si="6"/>
        <v>0</v>
      </c>
      <c r="R33" s="72">
        <f t="shared" si="7"/>
        <v>0</v>
      </c>
      <c r="S33" s="72">
        <f t="shared" si="8"/>
        <v>0</v>
      </c>
      <c r="T33" s="72">
        <f t="shared" si="9"/>
        <v>1</v>
      </c>
      <c r="U33" s="72">
        <f t="shared" si="10"/>
        <v>11</v>
      </c>
      <c r="V33" s="74">
        <f t="shared" si="11"/>
        <v>12</v>
      </c>
      <c r="W33" s="72">
        <f t="shared" si="12"/>
        <v>16</v>
      </c>
      <c r="X33" s="75">
        <f t="shared" si="13"/>
        <v>0</v>
      </c>
      <c r="Y33" s="76" t="str">
        <f>INDEX(설정!$A$15:$A$20,IF(N33*M33&gt;=O33*L33,K33,J33))</f>
        <v>금 코인</v>
      </c>
      <c r="Z33" s="71">
        <f>SUMIFS('드랍 구성'!$K$5:$K$102,'드랍 구성'!$A$5:$A$102,B33,'드랍 구성'!$B$5:$B$102,A33)</f>
        <v>16</v>
      </c>
      <c r="AA33" s="77" t="str">
        <f t="shared" si="14"/>
        <v>-</v>
      </c>
      <c r="AB33" s="72">
        <f t="shared" si="15"/>
        <v>16</v>
      </c>
    </row>
    <row r="34" spans="1:28" x14ac:dyDescent="0.3">
      <c r="A34" s="37" t="s">
        <v>66</v>
      </c>
      <c r="B34" s="46" t="str">
        <f>'스테이지별 골드'!C6</f>
        <v>1-2</v>
      </c>
      <c r="C34" s="52">
        <f>MATCH(B34,'스테이지별 골드'!$C$5:$C$32,0)</f>
        <v>2</v>
      </c>
      <c r="D34" s="52">
        <f t="shared" si="0"/>
        <v>1</v>
      </c>
      <c r="E34" s="39">
        <f>'스테이지별 골드'!K6</f>
        <v>20</v>
      </c>
      <c r="F34" s="39">
        <f>'스테이지별 골드'!E6</f>
        <v>2</v>
      </c>
      <c r="G34" s="59">
        <f>ROUND(설정!$B$27*(1+설정!$C$27)^(C34-1)*(1+설정!$D$27)^(D34-1),0)</f>
        <v>12</v>
      </c>
      <c r="H34" s="58">
        <f t="shared" si="1"/>
        <v>1.6666666666666667</v>
      </c>
      <c r="I34" s="52">
        <f>COUNTIF(설정!$C$34:$C$39,"&lt;="&amp;MAX(1,C34-설정!$E$27))</f>
        <v>2</v>
      </c>
      <c r="J34" s="52">
        <f>MIN(I34,MAX(1,COUNTIF(설정!$B$15:$B$20,"&lt;="&amp;H34)))</f>
        <v>1</v>
      </c>
      <c r="K34" s="52">
        <f t="shared" si="2"/>
        <v>2</v>
      </c>
      <c r="L34" s="59">
        <f>INDEX(설정!$B$15:$B$20,J34)</f>
        <v>1</v>
      </c>
      <c r="M34" s="59">
        <f>INDEX(설정!$B$15:$B$20,K34)</f>
        <v>5</v>
      </c>
      <c r="N34" s="59">
        <f t="shared" si="3"/>
        <v>2</v>
      </c>
      <c r="O34" s="59">
        <f t="shared" si="4"/>
        <v>10</v>
      </c>
      <c r="P34" s="59">
        <f t="shared" si="5"/>
        <v>0</v>
      </c>
      <c r="Q34" s="59">
        <f t="shared" si="6"/>
        <v>0</v>
      </c>
      <c r="R34" s="59">
        <f t="shared" si="7"/>
        <v>0</v>
      </c>
      <c r="S34" s="59">
        <f t="shared" si="8"/>
        <v>0</v>
      </c>
      <c r="T34" s="59">
        <f t="shared" si="9"/>
        <v>2</v>
      </c>
      <c r="U34" s="59">
        <f t="shared" si="10"/>
        <v>10</v>
      </c>
      <c r="V34" s="78">
        <f t="shared" si="11"/>
        <v>12</v>
      </c>
      <c r="W34" s="59">
        <f t="shared" si="12"/>
        <v>20</v>
      </c>
      <c r="X34" s="79">
        <f t="shared" si="13"/>
        <v>0</v>
      </c>
      <c r="Y34" s="56" t="str">
        <f>INDEX(설정!$A$15:$A$20,IF(N34*M34&gt;=O34*L34,K34,J34))</f>
        <v>금괴</v>
      </c>
      <c r="Z34" s="39">
        <f>SUMIFS('드랍 구성'!$K$5:$K$102,'드랍 구성'!$A$5:$A$102,B34,'드랍 구성'!$B$5:$B$102,A34)</f>
        <v>20</v>
      </c>
      <c r="AA34" s="80">
        <f t="shared" si="14"/>
        <v>0</v>
      </c>
      <c r="AB34" s="59">
        <f t="shared" si="15"/>
        <v>40</v>
      </c>
    </row>
    <row r="35" spans="1:28" x14ac:dyDescent="0.3">
      <c r="A35" s="37" t="s">
        <v>66</v>
      </c>
      <c r="B35" s="46" t="str">
        <f>'스테이지별 골드'!C7</f>
        <v>1-3</v>
      </c>
      <c r="C35" s="52">
        <f>MATCH(B35,'스테이지별 골드'!$C$5:$C$32,0)</f>
        <v>3</v>
      </c>
      <c r="D35" s="52">
        <f t="shared" si="0"/>
        <v>1</v>
      </c>
      <c r="E35" s="39">
        <f>'스테이지별 골드'!K7</f>
        <v>24</v>
      </c>
      <c r="F35" s="39">
        <f>'스테이지별 골드'!E7</f>
        <v>2</v>
      </c>
      <c r="G35" s="59">
        <f>ROUND(설정!$B$27*(1+설정!$C$27)^(C35-1)*(1+설정!$D$27)^(D35-1),0)</f>
        <v>12</v>
      </c>
      <c r="H35" s="58">
        <f t="shared" si="1"/>
        <v>2</v>
      </c>
      <c r="I35" s="52">
        <f>COUNTIF(설정!$C$34:$C$39,"&lt;="&amp;MAX(1,C35-설정!$E$27))</f>
        <v>2</v>
      </c>
      <c r="J35" s="52">
        <f>MIN(I35,MAX(1,COUNTIF(설정!$B$15:$B$20,"&lt;="&amp;H35)))</f>
        <v>1</v>
      </c>
      <c r="K35" s="52">
        <f t="shared" si="2"/>
        <v>2</v>
      </c>
      <c r="L35" s="59">
        <f>INDEX(설정!$B$15:$B$20,J35)</f>
        <v>1</v>
      </c>
      <c r="M35" s="59">
        <f>INDEX(설정!$B$15:$B$20,K35)</f>
        <v>5</v>
      </c>
      <c r="N35" s="59">
        <f t="shared" si="3"/>
        <v>3</v>
      </c>
      <c r="O35" s="59">
        <f t="shared" si="4"/>
        <v>9</v>
      </c>
      <c r="P35" s="59">
        <f t="shared" si="5"/>
        <v>0</v>
      </c>
      <c r="Q35" s="59">
        <f t="shared" si="6"/>
        <v>0</v>
      </c>
      <c r="R35" s="59">
        <f t="shared" si="7"/>
        <v>0</v>
      </c>
      <c r="S35" s="59">
        <f t="shared" si="8"/>
        <v>0</v>
      </c>
      <c r="T35" s="59">
        <f t="shared" si="9"/>
        <v>3</v>
      </c>
      <c r="U35" s="59">
        <f t="shared" si="10"/>
        <v>9</v>
      </c>
      <c r="V35" s="78">
        <f t="shared" si="11"/>
        <v>12</v>
      </c>
      <c r="W35" s="59">
        <f t="shared" si="12"/>
        <v>24</v>
      </c>
      <c r="X35" s="79">
        <f t="shared" si="13"/>
        <v>0</v>
      </c>
      <c r="Y35" s="56" t="str">
        <f>INDEX(설정!$A$15:$A$20,IF(N35*M35&gt;=O35*L35,K35,J35))</f>
        <v>금괴</v>
      </c>
      <c r="Z35" s="39">
        <f>SUMIFS('드랍 구성'!$K$5:$K$102,'드랍 구성'!$A$5:$A$102,B35,'드랍 구성'!$B$5:$B$102,A35)</f>
        <v>24</v>
      </c>
      <c r="AA35" s="80">
        <f t="shared" si="14"/>
        <v>0</v>
      </c>
      <c r="AB35" s="59">
        <f t="shared" si="15"/>
        <v>48</v>
      </c>
    </row>
    <row r="36" spans="1:28" x14ac:dyDescent="0.3">
      <c r="A36" s="37" t="s">
        <v>66</v>
      </c>
      <c r="B36" s="46" t="str">
        <f>'스테이지별 골드'!C8</f>
        <v>1-4</v>
      </c>
      <c r="C36" s="52">
        <f>MATCH(B36,'스테이지별 골드'!$C$5:$C$32,0)</f>
        <v>4</v>
      </c>
      <c r="D36" s="52">
        <f t="shared" si="0"/>
        <v>1</v>
      </c>
      <c r="E36" s="39">
        <f>'스테이지별 골드'!K8</f>
        <v>30</v>
      </c>
      <c r="F36" s="39">
        <f>'스테이지별 골드'!E8</f>
        <v>3</v>
      </c>
      <c r="G36" s="59">
        <f>ROUND(설정!$B$27*(1+설정!$C$27)^(C36-1)*(1+설정!$D$27)^(D36-1),0)</f>
        <v>13</v>
      </c>
      <c r="H36" s="58">
        <f t="shared" si="1"/>
        <v>2.3076923076923075</v>
      </c>
      <c r="I36" s="52">
        <f>COUNTIF(설정!$C$34:$C$39,"&lt;="&amp;MAX(1,C36-설정!$E$27))</f>
        <v>2</v>
      </c>
      <c r="J36" s="52">
        <f>MIN(I36,MAX(1,COUNTIF(설정!$B$15:$B$20,"&lt;="&amp;H36)))</f>
        <v>1</v>
      </c>
      <c r="K36" s="52">
        <f t="shared" si="2"/>
        <v>2</v>
      </c>
      <c r="L36" s="59">
        <f>INDEX(설정!$B$15:$B$20,J36)</f>
        <v>1</v>
      </c>
      <c r="M36" s="59">
        <f>INDEX(설정!$B$15:$B$20,K36)</f>
        <v>5</v>
      </c>
      <c r="N36" s="59">
        <f t="shared" si="3"/>
        <v>4</v>
      </c>
      <c r="O36" s="59">
        <f t="shared" si="4"/>
        <v>9</v>
      </c>
      <c r="P36" s="59">
        <f t="shared" si="5"/>
        <v>0</v>
      </c>
      <c r="Q36" s="59">
        <f t="shared" si="6"/>
        <v>0</v>
      </c>
      <c r="R36" s="59">
        <f t="shared" si="7"/>
        <v>0</v>
      </c>
      <c r="S36" s="59">
        <f t="shared" si="8"/>
        <v>0</v>
      </c>
      <c r="T36" s="59">
        <f t="shared" si="9"/>
        <v>4</v>
      </c>
      <c r="U36" s="59">
        <f t="shared" si="10"/>
        <v>9</v>
      </c>
      <c r="V36" s="78">
        <f t="shared" si="11"/>
        <v>13</v>
      </c>
      <c r="W36" s="59">
        <f t="shared" si="12"/>
        <v>29</v>
      </c>
      <c r="X36" s="79">
        <f t="shared" si="13"/>
        <v>-3.3333333333333326E-2</v>
      </c>
      <c r="Y36" s="56" t="str">
        <f>INDEX(설정!$A$15:$A$20,IF(N36*M36&gt;=O36*L36,K36,J36))</f>
        <v>금괴</v>
      </c>
      <c r="Z36" s="39">
        <f>SUMIFS('드랍 구성'!$K$5:$K$102,'드랍 구성'!$A$5:$A$102,B36,'드랍 구성'!$B$5:$B$102,A36)</f>
        <v>6</v>
      </c>
      <c r="AA36" s="80">
        <f t="shared" si="14"/>
        <v>1</v>
      </c>
      <c r="AB36" s="59">
        <f t="shared" si="15"/>
        <v>87</v>
      </c>
    </row>
    <row r="37" spans="1:28" x14ac:dyDescent="0.3">
      <c r="A37" s="37" t="s">
        <v>66</v>
      </c>
      <c r="B37" s="46" t="str">
        <f>'스테이지별 골드'!C9</f>
        <v>2-1</v>
      </c>
      <c r="C37" s="52">
        <f>MATCH(B37,'스테이지별 골드'!$C$5:$C$32,0)</f>
        <v>5</v>
      </c>
      <c r="D37" s="52">
        <f t="shared" ref="D37:D68" si="16">INT((C37-1)/4)+1</f>
        <v>2</v>
      </c>
      <c r="E37" s="39">
        <f>'스테이지별 골드'!K9</f>
        <v>36</v>
      </c>
      <c r="F37" s="39">
        <f>'스테이지별 골드'!E9</f>
        <v>3</v>
      </c>
      <c r="G37" s="59">
        <f>ROUND(설정!$B$27*(1+설정!$C$27)^(C37-1)*(1+설정!$D$27)^(D37-1),0)</f>
        <v>14</v>
      </c>
      <c r="H37" s="58">
        <f t="shared" ref="H37:H68" si="17">IF(G37=0,0,E37/G37)</f>
        <v>2.5714285714285716</v>
      </c>
      <c r="I37" s="52">
        <f>COUNTIF(설정!$C$34:$C$39,"&lt;="&amp;MAX(1,C37-설정!$E$27))</f>
        <v>3</v>
      </c>
      <c r="J37" s="52">
        <f>MIN(I37,MAX(1,COUNTIF(설정!$B$15:$B$20,"&lt;="&amp;H37)))</f>
        <v>1</v>
      </c>
      <c r="K37" s="52">
        <f t="shared" ref="K37:K68" si="18">IF(J37&lt;I37,J37+1,J37)</f>
        <v>2</v>
      </c>
      <c r="L37" s="59">
        <f>INDEX(설정!$B$15:$B$20,J37)</f>
        <v>1</v>
      </c>
      <c r="M37" s="59">
        <f>INDEX(설정!$B$15:$B$20,K37)</f>
        <v>5</v>
      </c>
      <c r="N37" s="59">
        <f t="shared" ref="N37:N68" si="19">IF(K37=J37,0,MIN(G37,MAX(0,ROUND((E37-G37*L37)/(M37-L37),0))))</f>
        <v>6</v>
      </c>
      <c r="O37" s="59">
        <f t="shared" ref="O37:O68" si="20">IF(K37=J37,ROUND(E37/L37,0),G37-N37)</f>
        <v>8</v>
      </c>
      <c r="P37" s="59">
        <f t="shared" ref="P37:P68" si="21">IF($K37=6,$N37,0)+IF($J37=6,$O37,0)</f>
        <v>0</v>
      </c>
      <c r="Q37" s="59">
        <f t="shared" ref="Q37:Q68" si="22">IF($K37=5,$N37,0)+IF($J37=5,$O37,0)</f>
        <v>0</v>
      </c>
      <c r="R37" s="59">
        <f t="shared" ref="R37:R68" si="23">IF($K37=4,$N37,0)+IF($J37=4,$O37,0)</f>
        <v>0</v>
      </c>
      <c r="S37" s="59">
        <f t="shared" ref="S37:S68" si="24">IF($K37=3,$N37,0)+IF($J37=3,$O37,0)</f>
        <v>0</v>
      </c>
      <c r="T37" s="59">
        <f t="shared" ref="T37:T68" si="25">IF($K37=2,$N37,0)+IF($J37=2,$O37,0)</f>
        <v>6</v>
      </c>
      <c r="U37" s="59">
        <f t="shared" ref="U37:U68" si="26">IF($K37=1,$N37,0)+IF($J37=1,$O37,0)</f>
        <v>8</v>
      </c>
      <c r="V37" s="78">
        <f t="shared" ref="V37:V68" si="27">SUM(P37:U37)</f>
        <v>14</v>
      </c>
      <c r="W37" s="59">
        <f t="shared" ref="W37:W68" si="28">SUMPRODUCT(P37:U37,$P$3:$U$3)</f>
        <v>38</v>
      </c>
      <c r="X37" s="79">
        <f t="shared" ref="X37:X68" si="29">IF(E37=0,0,W37/E37-1)</f>
        <v>5.555555555555558E-2</v>
      </c>
      <c r="Y37" s="56" t="str">
        <f>INDEX(설정!$A$15:$A$20,IF(N37*M37&gt;=O37*L37,K37,J37))</f>
        <v>금괴</v>
      </c>
      <c r="Z37" s="39">
        <f>SUMIFS('드랍 구성'!$K$5:$K$102,'드랍 구성'!$A$5:$A$102,B37,'드랍 구성'!$B$5:$B$102,A37)</f>
        <v>8</v>
      </c>
      <c r="AA37" s="80">
        <f t="shared" ref="AA37:AA68" si="30">IF(A36&lt;&gt;A37,"-",V37-V36)</f>
        <v>1</v>
      </c>
      <c r="AB37" s="59">
        <f t="shared" ref="AB37:AB68" si="31">W37*F37</f>
        <v>114</v>
      </c>
    </row>
    <row r="38" spans="1:28" x14ac:dyDescent="0.3">
      <c r="A38" s="37" t="s">
        <v>66</v>
      </c>
      <c r="B38" s="46" t="str">
        <f>'스테이지별 골드'!C10</f>
        <v>2-2</v>
      </c>
      <c r="C38" s="52">
        <f>MATCH(B38,'스테이지별 골드'!$C$5:$C$32,0)</f>
        <v>6</v>
      </c>
      <c r="D38" s="52">
        <f t="shared" si="16"/>
        <v>2</v>
      </c>
      <c r="E38" s="39">
        <f>'스테이지별 골드'!K10</f>
        <v>46</v>
      </c>
      <c r="F38" s="39">
        <f>'스테이지별 골드'!E10</f>
        <v>4</v>
      </c>
      <c r="G38" s="59">
        <f>ROUND(설정!$B$27*(1+설정!$C$27)^(C38-1)*(1+설정!$D$27)^(D38-1),0)</f>
        <v>14</v>
      </c>
      <c r="H38" s="58">
        <f t="shared" si="17"/>
        <v>3.2857142857142856</v>
      </c>
      <c r="I38" s="52">
        <f>COUNTIF(설정!$C$34:$C$39,"&lt;="&amp;MAX(1,C38-설정!$E$27))</f>
        <v>3</v>
      </c>
      <c r="J38" s="52">
        <f>MIN(I38,MAX(1,COUNTIF(설정!$B$15:$B$20,"&lt;="&amp;H38)))</f>
        <v>1</v>
      </c>
      <c r="K38" s="52">
        <f t="shared" si="18"/>
        <v>2</v>
      </c>
      <c r="L38" s="59">
        <f>INDEX(설정!$B$15:$B$20,J38)</f>
        <v>1</v>
      </c>
      <c r="M38" s="59">
        <f>INDEX(설정!$B$15:$B$20,K38)</f>
        <v>5</v>
      </c>
      <c r="N38" s="59">
        <f t="shared" si="19"/>
        <v>8</v>
      </c>
      <c r="O38" s="59">
        <f t="shared" si="20"/>
        <v>6</v>
      </c>
      <c r="P38" s="59">
        <f t="shared" si="21"/>
        <v>0</v>
      </c>
      <c r="Q38" s="59">
        <f t="shared" si="22"/>
        <v>0</v>
      </c>
      <c r="R38" s="59">
        <f t="shared" si="23"/>
        <v>0</v>
      </c>
      <c r="S38" s="59">
        <f t="shared" si="24"/>
        <v>0</v>
      </c>
      <c r="T38" s="59">
        <f t="shared" si="25"/>
        <v>8</v>
      </c>
      <c r="U38" s="59">
        <f t="shared" si="26"/>
        <v>6</v>
      </c>
      <c r="V38" s="78">
        <f t="shared" si="27"/>
        <v>14</v>
      </c>
      <c r="W38" s="59">
        <f t="shared" si="28"/>
        <v>46</v>
      </c>
      <c r="X38" s="79">
        <f t="shared" si="29"/>
        <v>0</v>
      </c>
      <c r="Y38" s="56" t="str">
        <f>INDEX(설정!$A$15:$A$20,IF(N38*M38&gt;=O38*L38,K38,J38))</f>
        <v>금괴</v>
      </c>
      <c r="Z38" s="39">
        <f>SUMIFS('드랍 구성'!$K$5:$K$102,'드랍 구성'!$A$5:$A$102,B38,'드랍 구성'!$B$5:$B$102,A38)</f>
        <v>10</v>
      </c>
      <c r="AA38" s="80">
        <f t="shared" si="30"/>
        <v>0</v>
      </c>
      <c r="AB38" s="59">
        <f t="shared" si="31"/>
        <v>184</v>
      </c>
    </row>
    <row r="39" spans="1:28" x14ac:dyDescent="0.3">
      <c r="A39" s="37" t="s">
        <v>66</v>
      </c>
      <c r="B39" s="46" t="str">
        <f>'스테이지별 골드'!C11</f>
        <v>2-3</v>
      </c>
      <c r="C39" s="52">
        <f>MATCH(B39,'스테이지별 골드'!$C$5:$C$32,0)</f>
        <v>7</v>
      </c>
      <c r="D39" s="52">
        <f t="shared" si="16"/>
        <v>2</v>
      </c>
      <c r="E39" s="39">
        <f>'스테이지별 골드'!K11</f>
        <v>55</v>
      </c>
      <c r="F39" s="39">
        <f>'스테이지별 골드'!E11</f>
        <v>4</v>
      </c>
      <c r="G39" s="59">
        <f>ROUND(설정!$B$27*(1+설정!$C$27)^(C39-1)*(1+설정!$D$27)^(D39-1),0)</f>
        <v>14</v>
      </c>
      <c r="H39" s="58">
        <f t="shared" si="17"/>
        <v>3.9285714285714284</v>
      </c>
      <c r="I39" s="52">
        <f>COUNTIF(설정!$C$34:$C$39,"&lt;="&amp;MAX(1,C39-설정!$E$27))</f>
        <v>3</v>
      </c>
      <c r="J39" s="52">
        <f>MIN(I39,MAX(1,COUNTIF(설정!$B$15:$B$20,"&lt;="&amp;H39)))</f>
        <v>1</v>
      </c>
      <c r="K39" s="52">
        <f t="shared" si="18"/>
        <v>2</v>
      </c>
      <c r="L39" s="59">
        <f>INDEX(설정!$B$15:$B$20,J39)</f>
        <v>1</v>
      </c>
      <c r="M39" s="59">
        <f>INDEX(설정!$B$15:$B$20,K39)</f>
        <v>5</v>
      </c>
      <c r="N39" s="59">
        <f t="shared" si="19"/>
        <v>10</v>
      </c>
      <c r="O39" s="59">
        <f t="shared" si="20"/>
        <v>4</v>
      </c>
      <c r="P39" s="59">
        <f t="shared" si="21"/>
        <v>0</v>
      </c>
      <c r="Q39" s="59">
        <f t="shared" si="22"/>
        <v>0</v>
      </c>
      <c r="R39" s="59">
        <f t="shared" si="23"/>
        <v>0</v>
      </c>
      <c r="S39" s="59">
        <f t="shared" si="24"/>
        <v>0</v>
      </c>
      <c r="T39" s="59">
        <f t="shared" si="25"/>
        <v>10</v>
      </c>
      <c r="U39" s="59">
        <f t="shared" si="26"/>
        <v>4</v>
      </c>
      <c r="V39" s="78">
        <f t="shared" si="27"/>
        <v>14</v>
      </c>
      <c r="W39" s="59">
        <f t="shared" si="28"/>
        <v>54</v>
      </c>
      <c r="X39" s="79">
        <f t="shared" si="29"/>
        <v>-1.8181818181818188E-2</v>
      </c>
      <c r="Y39" s="56" t="str">
        <f>INDEX(설정!$A$15:$A$20,IF(N39*M39&gt;=O39*L39,K39,J39))</f>
        <v>금괴</v>
      </c>
      <c r="Z39" s="39">
        <f>SUMIFS('드랍 구성'!$K$5:$K$102,'드랍 구성'!$A$5:$A$102,B39,'드랍 구성'!$B$5:$B$102,A39)</f>
        <v>11</v>
      </c>
      <c r="AA39" s="80">
        <f t="shared" si="30"/>
        <v>0</v>
      </c>
      <c r="AB39" s="59">
        <f t="shared" si="31"/>
        <v>216</v>
      </c>
    </row>
    <row r="40" spans="1:28" x14ac:dyDescent="0.3">
      <c r="A40" s="37" t="s">
        <v>66</v>
      </c>
      <c r="B40" s="46" t="str">
        <f>'스테이지별 골드'!C12</f>
        <v>2-4</v>
      </c>
      <c r="C40" s="52">
        <f>MATCH(B40,'스테이지별 골드'!$C$5:$C$32,0)</f>
        <v>8</v>
      </c>
      <c r="D40" s="52">
        <f t="shared" si="16"/>
        <v>2</v>
      </c>
      <c r="E40" s="39">
        <f>'스테이지별 골드'!K12</f>
        <v>69</v>
      </c>
      <c r="F40" s="39">
        <f>'스테이지별 골드'!E12</f>
        <v>5</v>
      </c>
      <c r="G40" s="59">
        <f>ROUND(설정!$B$27*(1+설정!$C$27)^(C40-1)*(1+설정!$D$27)^(D40-1),0)</f>
        <v>15</v>
      </c>
      <c r="H40" s="58">
        <f t="shared" si="17"/>
        <v>4.5999999999999996</v>
      </c>
      <c r="I40" s="52">
        <f>COUNTIF(설정!$C$34:$C$39,"&lt;="&amp;MAX(1,C40-설정!$E$27))</f>
        <v>3</v>
      </c>
      <c r="J40" s="52">
        <f>MIN(I40,MAX(1,COUNTIF(설정!$B$15:$B$20,"&lt;="&amp;H40)))</f>
        <v>1</v>
      </c>
      <c r="K40" s="52">
        <f t="shared" si="18"/>
        <v>2</v>
      </c>
      <c r="L40" s="59">
        <f>INDEX(설정!$B$15:$B$20,J40)</f>
        <v>1</v>
      </c>
      <c r="M40" s="59">
        <f>INDEX(설정!$B$15:$B$20,K40)</f>
        <v>5</v>
      </c>
      <c r="N40" s="59">
        <f t="shared" si="19"/>
        <v>14</v>
      </c>
      <c r="O40" s="59">
        <f t="shared" si="20"/>
        <v>1</v>
      </c>
      <c r="P40" s="59">
        <f t="shared" si="21"/>
        <v>0</v>
      </c>
      <c r="Q40" s="59">
        <f t="shared" si="22"/>
        <v>0</v>
      </c>
      <c r="R40" s="59">
        <f t="shared" si="23"/>
        <v>0</v>
      </c>
      <c r="S40" s="59">
        <f t="shared" si="24"/>
        <v>0</v>
      </c>
      <c r="T40" s="59">
        <f t="shared" si="25"/>
        <v>14</v>
      </c>
      <c r="U40" s="59">
        <f t="shared" si="26"/>
        <v>1</v>
      </c>
      <c r="V40" s="78">
        <f t="shared" si="27"/>
        <v>15</v>
      </c>
      <c r="W40" s="59">
        <f t="shared" si="28"/>
        <v>71</v>
      </c>
      <c r="X40" s="79">
        <f t="shared" si="29"/>
        <v>2.8985507246376718E-2</v>
      </c>
      <c r="Y40" s="56" t="str">
        <f>INDEX(설정!$A$15:$A$20,IF(N40*M40&gt;=O40*L40,K40,J40))</f>
        <v>금괴</v>
      </c>
      <c r="Z40" s="39">
        <f>SUMIFS('드랍 구성'!$K$5:$K$102,'드랍 구성'!$A$5:$A$102,B40,'드랍 구성'!$B$5:$B$102,A40)</f>
        <v>17</v>
      </c>
      <c r="AA40" s="80">
        <f t="shared" si="30"/>
        <v>1</v>
      </c>
      <c r="AB40" s="59">
        <f t="shared" si="31"/>
        <v>355</v>
      </c>
    </row>
    <row r="41" spans="1:28" x14ac:dyDescent="0.3">
      <c r="A41" s="37" t="s">
        <v>66</v>
      </c>
      <c r="B41" s="46" t="str">
        <f>'스테이지별 골드'!C13</f>
        <v>3-1</v>
      </c>
      <c r="C41" s="52">
        <f>MATCH(B41,'스테이지별 골드'!$C$5:$C$32,0)</f>
        <v>9</v>
      </c>
      <c r="D41" s="52">
        <f t="shared" si="16"/>
        <v>3</v>
      </c>
      <c r="E41" s="39">
        <f>'스테이지별 골드'!K13</f>
        <v>84</v>
      </c>
      <c r="F41" s="39">
        <f>'스테이지별 골드'!E13</f>
        <v>5</v>
      </c>
      <c r="G41" s="59">
        <f>ROUND(설정!$B$27*(1+설정!$C$27)^(C41-1)*(1+설정!$D$27)^(D41-1),0)</f>
        <v>16</v>
      </c>
      <c r="H41" s="58">
        <f t="shared" si="17"/>
        <v>5.25</v>
      </c>
      <c r="I41" s="52">
        <f>COUNTIF(설정!$C$34:$C$39,"&lt;="&amp;MAX(1,C41-설정!$E$27))</f>
        <v>3</v>
      </c>
      <c r="J41" s="52">
        <f>MIN(I41,MAX(1,COUNTIF(설정!$B$15:$B$20,"&lt;="&amp;H41)))</f>
        <v>2</v>
      </c>
      <c r="K41" s="52">
        <f t="shared" si="18"/>
        <v>3</v>
      </c>
      <c r="L41" s="59">
        <f>INDEX(설정!$B$15:$B$20,J41)</f>
        <v>5</v>
      </c>
      <c r="M41" s="59">
        <f>INDEX(설정!$B$15:$B$20,K41)</f>
        <v>25</v>
      </c>
      <c r="N41" s="59">
        <f t="shared" si="19"/>
        <v>0</v>
      </c>
      <c r="O41" s="59">
        <f t="shared" si="20"/>
        <v>16</v>
      </c>
      <c r="P41" s="59">
        <f t="shared" si="21"/>
        <v>0</v>
      </c>
      <c r="Q41" s="59">
        <f t="shared" si="22"/>
        <v>0</v>
      </c>
      <c r="R41" s="59">
        <f t="shared" si="23"/>
        <v>0</v>
      </c>
      <c r="S41" s="59">
        <f t="shared" si="24"/>
        <v>0</v>
      </c>
      <c r="T41" s="59">
        <f t="shared" si="25"/>
        <v>16</v>
      </c>
      <c r="U41" s="59">
        <f t="shared" si="26"/>
        <v>0</v>
      </c>
      <c r="V41" s="78">
        <f t="shared" si="27"/>
        <v>16</v>
      </c>
      <c r="W41" s="59">
        <f t="shared" si="28"/>
        <v>80</v>
      </c>
      <c r="X41" s="79">
        <f t="shared" si="29"/>
        <v>-4.7619047619047672E-2</v>
      </c>
      <c r="Y41" s="56" t="str">
        <f>INDEX(설정!$A$15:$A$20,IF(N41*M41&gt;=O41*L41,K41,J41))</f>
        <v>금괴</v>
      </c>
      <c r="Z41" s="39">
        <f>SUMIFS('드랍 구성'!$K$5:$K$102,'드랍 구성'!$A$5:$A$102,B41,'드랍 구성'!$B$5:$B$102,A41)</f>
        <v>20</v>
      </c>
      <c r="AA41" s="80">
        <f t="shared" si="30"/>
        <v>1</v>
      </c>
      <c r="AB41" s="59">
        <f t="shared" si="31"/>
        <v>400</v>
      </c>
    </row>
    <row r="42" spans="1:28" x14ac:dyDescent="0.3">
      <c r="A42" s="37" t="s">
        <v>66</v>
      </c>
      <c r="B42" s="46" t="str">
        <f>'스테이지별 골드'!C14</f>
        <v>3-2</v>
      </c>
      <c r="C42" s="52">
        <f>MATCH(B42,'스테이지별 골드'!$C$5:$C$32,0)</f>
        <v>10</v>
      </c>
      <c r="D42" s="52">
        <f t="shared" si="16"/>
        <v>3</v>
      </c>
      <c r="E42" s="39">
        <f>'스테이지별 골드'!K14</f>
        <v>103</v>
      </c>
      <c r="F42" s="39">
        <f>'스테이지별 골드'!E14</f>
        <v>6</v>
      </c>
      <c r="G42" s="59">
        <f>ROUND(설정!$B$27*(1+설정!$C$27)^(C42-1)*(1+설정!$D$27)^(D42-1),0)</f>
        <v>16</v>
      </c>
      <c r="H42" s="58">
        <f t="shared" si="17"/>
        <v>6.4375</v>
      </c>
      <c r="I42" s="52">
        <f>COUNTIF(설정!$C$34:$C$39,"&lt;="&amp;MAX(1,C42-설정!$E$27))</f>
        <v>3</v>
      </c>
      <c r="J42" s="52">
        <f>MIN(I42,MAX(1,COUNTIF(설정!$B$15:$B$20,"&lt;="&amp;H42)))</f>
        <v>2</v>
      </c>
      <c r="K42" s="52">
        <f t="shared" si="18"/>
        <v>3</v>
      </c>
      <c r="L42" s="59">
        <f>INDEX(설정!$B$15:$B$20,J42)</f>
        <v>5</v>
      </c>
      <c r="M42" s="59">
        <f>INDEX(설정!$B$15:$B$20,K42)</f>
        <v>25</v>
      </c>
      <c r="N42" s="59">
        <f t="shared" si="19"/>
        <v>1</v>
      </c>
      <c r="O42" s="59">
        <f t="shared" si="20"/>
        <v>15</v>
      </c>
      <c r="P42" s="59">
        <f t="shared" si="21"/>
        <v>0</v>
      </c>
      <c r="Q42" s="59">
        <f t="shared" si="22"/>
        <v>0</v>
      </c>
      <c r="R42" s="59">
        <f t="shared" si="23"/>
        <v>0</v>
      </c>
      <c r="S42" s="59">
        <f t="shared" si="24"/>
        <v>1</v>
      </c>
      <c r="T42" s="59">
        <f t="shared" si="25"/>
        <v>15</v>
      </c>
      <c r="U42" s="59">
        <f t="shared" si="26"/>
        <v>0</v>
      </c>
      <c r="V42" s="78">
        <f t="shared" si="27"/>
        <v>16</v>
      </c>
      <c r="W42" s="59">
        <f t="shared" si="28"/>
        <v>100</v>
      </c>
      <c r="X42" s="79">
        <f t="shared" si="29"/>
        <v>-2.9126213592232997E-2</v>
      </c>
      <c r="Y42" s="56" t="str">
        <f>INDEX(설정!$A$15:$A$20,IF(N42*M42&gt;=O42*L42,K42,J42))</f>
        <v>금괴</v>
      </c>
      <c r="Z42" s="39">
        <f>SUMIFS('드랍 구성'!$K$5:$K$102,'드랍 구성'!$A$5:$A$102,B42,'드랍 구성'!$B$5:$B$102,A42)</f>
        <v>23</v>
      </c>
      <c r="AA42" s="80">
        <f t="shared" si="30"/>
        <v>0</v>
      </c>
      <c r="AB42" s="59">
        <f t="shared" si="31"/>
        <v>600</v>
      </c>
    </row>
    <row r="43" spans="1:28" x14ac:dyDescent="0.3">
      <c r="A43" s="37" t="s">
        <v>66</v>
      </c>
      <c r="B43" s="46" t="str">
        <f>'스테이지별 골드'!C15</f>
        <v>3-3</v>
      </c>
      <c r="C43" s="52">
        <f>MATCH(B43,'스테이지별 골드'!$C$5:$C$32,0)</f>
        <v>11</v>
      </c>
      <c r="D43" s="52">
        <f t="shared" si="16"/>
        <v>3</v>
      </c>
      <c r="E43" s="39">
        <f>'스테이지별 골드'!K15</f>
        <v>126</v>
      </c>
      <c r="F43" s="39">
        <f>'스테이지별 골드'!E15</f>
        <v>6</v>
      </c>
      <c r="G43" s="59">
        <f>ROUND(설정!$B$27*(1+설정!$C$27)^(C43-1)*(1+설정!$D$27)^(D43-1),0)</f>
        <v>17</v>
      </c>
      <c r="H43" s="58">
        <f t="shared" si="17"/>
        <v>7.4117647058823533</v>
      </c>
      <c r="I43" s="52">
        <f>COUNTIF(설정!$C$34:$C$39,"&lt;="&amp;MAX(1,C43-설정!$E$27))</f>
        <v>3</v>
      </c>
      <c r="J43" s="52">
        <f>MIN(I43,MAX(1,COUNTIF(설정!$B$15:$B$20,"&lt;="&amp;H43)))</f>
        <v>2</v>
      </c>
      <c r="K43" s="52">
        <f t="shared" si="18"/>
        <v>3</v>
      </c>
      <c r="L43" s="59">
        <f>INDEX(설정!$B$15:$B$20,J43)</f>
        <v>5</v>
      </c>
      <c r="M43" s="59">
        <f>INDEX(설정!$B$15:$B$20,K43)</f>
        <v>25</v>
      </c>
      <c r="N43" s="59">
        <f t="shared" si="19"/>
        <v>2</v>
      </c>
      <c r="O43" s="59">
        <f t="shared" si="20"/>
        <v>15</v>
      </c>
      <c r="P43" s="59">
        <f t="shared" si="21"/>
        <v>0</v>
      </c>
      <c r="Q43" s="59">
        <f t="shared" si="22"/>
        <v>0</v>
      </c>
      <c r="R43" s="59">
        <f t="shared" si="23"/>
        <v>0</v>
      </c>
      <c r="S43" s="59">
        <f t="shared" si="24"/>
        <v>2</v>
      </c>
      <c r="T43" s="59">
        <f t="shared" si="25"/>
        <v>15</v>
      </c>
      <c r="U43" s="59">
        <f t="shared" si="26"/>
        <v>0</v>
      </c>
      <c r="V43" s="78">
        <f t="shared" si="27"/>
        <v>17</v>
      </c>
      <c r="W43" s="59">
        <f t="shared" si="28"/>
        <v>125</v>
      </c>
      <c r="X43" s="79">
        <f t="shared" si="29"/>
        <v>-7.9365079365079083E-3</v>
      </c>
      <c r="Y43" s="56" t="str">
        <f>INDEX(설정!$A$15:$A$20,IF(N43*M43&gt;=O43*L43,K43,J43))</f>
        <v>금괴</v>
      </c>
      <c r="Z43" s="39">
        <f>SUMIFS('드랍 구성'!$K$5:$K$102,'드랍 구성'!$A$5:$A$102,B43,'드랍 구성'!$B$5:$B$102,A43)</f>
        <v>6</v>
      </c>
      <c r="AA43" s="80">
        <f t="shared" si="30"/>
        <v>1</v>
      </c>
      <c r="AB43" s="59">
        <f t="shared" si="31"/>
        <v>750</v>
      </c>
    </row>
    <row r="44" spans="1:28" x14ac:dyDescent="0.3">
      <c r="A44" s="37" t="s">
        <v>66</v>
      </c>
      <c r="B44" s="46" t="str">
        <f>'스테이지별 골드'!C16</f>
        <v>3-4</v>
      </c>
      <c r="C44" s="52">
        <f>MATCH(B44,'스테이지별 골드'!$C$5:$C$32,0)</f>
        <v>12</v>
      </c>
      <c r="D44" s="52">
        <f t="shared" si="16"/>
        <v>3</v>
      </c>
      <c r="E44" s="39">
        <f>'스테이지별 골드'!K16</f>
        <v>156</v>
      </c>
      <c r="F44" s="39">
        <f>'스테이지별 골드'!E16</f>
        <v>7</v>
      </c>
      <c r="G44" s="59">
        <f>ROUND(설정!$B$27*(1+설정!$C$27)^(C44-1)*(1+설정!$D$27)^(D44-1),0)</f>
        <v>17</v>
      </c>
      <c r="H44" s="58">
        <f t="shared" si="17"/>
        <v>9.1764705882352935</v>
      </c>
      <c r="I44" s="52">
        <f>COUNTIF(설정!$C$34:$C$39,"&lt;="&amp;MAX(1,C44-설정!$E$27))</f>
        <v>3</v>
      </c>
      <c r="J44" s="52">
        <f>MIN(I44,MAX(1,COUNTIF(설정!$B$15:$B$20,"&lt;="&amp;H44)))</f>
        <v>2</v>
      </c>
      <c r="K44" s="52">
        <f t="shared" si="18"/>
        <v>3</v>
      </c>
      <c r="L44" s="59">
        <f>INDEX(설정!$B$15:$B$20,J44)</f>
        <v>5</v>
      </c>
      <c r="M44" s="59">
        <f>INDEX(설정!$B$15:$B$20,K44)</f>
        <v>25</v>
      </c>
      <c r="N44" s="59">
        <f t="shared" si="19"/>
        <v>4</v>
      </c>
      <c r="O44" s="59">
        <f t="shared" si="20"/>
        <v>13</v>
      </c>
      <c r="P44" s="59">
        <f t="shared" si="21"/>
        <v>0</v>
      </c>
      <c r="Q44" s="59">
        <f t="shared" si="22"/>
        <v>0</v>
      </c>
      <c r="R44" s="59">
        <f t="shared" si="23"/>
        <v>0</v>
      </c>
      <c r="S44" s="59">
        <f t="shared" si="24"/>
        <v>4</v>
      </c>
      <c r="T44" s="59">
        <f t="shared" si="25"/>
        <v>13</v>
      </c>
      <c r="U44" s="59">
        <f t="shared" si="26"/>
        <v>0</v>
      </c>
      <c r="V44" s="78">
        <f t="shared" si="27"/>
        <v>17</v>
      </c>
      <c r="W44" s="59">
        <f t="shared" si="28"/>
        <v>165</v>
      </c>
      <c r="X44" s="79">
        <f t="shared" si="29"/>
        <v>5.7692307692307709E-2</v>
      </c>
      <c r="Y44" s="56" t="str">
        <f>INDEX(설정!$A$15:$A$20,IF(N44*M44&gt;=O44*L44,K44,J44))</f>
        <v>사파이어</v>
      </c>
      <c r="Z44" s="39">
        <f>SUMIFS('드랍 구성'!$K$5:$K$102,'드랍 구성'!$A$5:$A$102,B44,'드랍 구성'!$B$5:$B$102,A44)</f>
        <v>8</v>
      </c>
      <c r="AA44" s="80">
        <f t="shared" si="30"/>
        <v>0</v>
      </c>
      <c r="AB44" s="59">
        <f t="shared" si="31"/>
        <v>1155</v>
      </c>
    </row>
    <row r="45" spans="1:28" x14ac:dyDescent="0.3">
      <c r="A45" s="37" t="s">
        <v>66</v>
      </c>
      <c r="B45" s="46" t="str">
        <f>'스테이지별 골드'!C17</f>
        <v>4-1</v>
      </c>
      <c r="C45" s="52">
        <f>MATCH(B45,'스테이지별 골드'!$C$5:$C$32,0)</f>
        <v>13</v>
      </c>
      <c r="D45" s="52">
        <f t="shared" si="16"/>
        <v>4</v>
      </c>
      <c r="E45" s="39">
        <f>'스테이지별 골드'!K17</f>
        <v>187</v>
      </c>
      <c r="F45" s="39">
        <f>'스테이지별 골드'!E17</f>
        <v>7</v>
      </c>
      <c r="G45" s="59">
        <f>ROUND(설정!$B$27*(1+설정!$C$27)^(C45-1)*(1+설정!$D$27)^(D45-1),0)</f>
        <v>19</v>
      </c>
      <c r="H45" s="58">
        <f t="shared" si="17"/>
        <v>9.8421052631578956</v>
      </c>
      <c r="I45" s="52">
        <f>COUNTIF(설정!$C$34:$C$39,"&lt;="&amp;MAX(1,C45-설정!$E$27))</f>
        <v>4</v>
      </c>
      <c r="J45" s="52">
        <f>MIN(I45,MAX(1,COUNTIF(설정!$B$15:$B$20,"&lt;="&amp;H45)))</f>
        <v>2</v>
      </c>
      <c r="K45" s="52">
        <f t="shared" si="18"/>
        <v>3</v>
      </c>
      <c r="L45" s="59">
        <f>INDEX(설정!$B$15:$B$20,J45)</f>
        <v>5</v>
      </c>
      <c r="M45" s="59">
        <f>INDEX(설정!$B$15:$B$20,K45)</f>
        <v>25</v>
      </c>
      <c r="N45" s="59">
        <f t="shared" si="19"/>
        <v>5</v>
      </c>
      <c r="O45" s="59">
        <f t="shared" si="20"/>
        <v>14</v>
      </c>
      <c r="P45" s="59">
        <f t="shared" si="21"/>
        <v>0</v>
      </c>
      <c r="Q45" s="59">
        <f t="shared" si="22"/>
        <v>0</v>
      </c>
      <c r="R45" s="59">
        <f t="shared" si="23"/>
        <v>0</v>
      </c>
      <c r="S45" s="59">
        <f t="shared" si="24"/>
        <v>5</v>
      </c>
      <c r="T45" s="59">
        <f t="shared" si="25"/>
        <v>14</v>
      </c>
      <c r="U45" s="59">
        <f t="shared" si="26"/>
        <v>0</v>
      </c>
      <c r="V45" s="78">
        <f t="shared" si="27"/>
        <v>19</v>
      </c>
      <c r="W45" s="59">
        <f t="shared" si="28"/>
        <v>195</v>
      </c>
      <c r="X45" s="79">
        <f t="shared" si="29"/>
        <v>4.2780748663101553E-2</v>
      </c>
      <c r="Y45" s="56" t="str">
        <f>INDEX(설정!$A$15:$A$20,IF(N45*M45&gt;=O45*L45,K45,J45))</f>
        <v>사파이어</v>
      </c>
      <c r="Z45" s="39">
        <f>SUMIFS('드랍 구성'!$K$5:$K$102,'드랍 구성'!$A$5:$A$102,B45,'드랍 구성'!$B$5:$B$102,A45)</f>
        <v>11</v>
      </c>
      <c r="AA45" s="80">
        <f t="shared" si="30"/>
        <v>2</v>
      </c>
      <c r="AB45" s="59">
        <f t="shared" si="31"/>
        <v>1365</v>
      </c>
    </row>
    <row r="46" spans="1:28" x14ac:dyDescent="0.3">
      <c r="A46" s="37" t="s">
        <v>66</v>
      </c>
      <c r="B46" s="46" t="str">
        <f>'스테이지별 골드'!C18</f>
        <v>4-2</v>
      </c>
      <c r="C46" s="52">
        <f>MATCH(B46,'스테이지별 골드'!$C$5:$C$32,0)</f>
        <v>14</v>
      </c>
      <c r="D46" s="52">
        <f t="shared" si="16"/>
        <v>4</v>
      </c>
      <c r="E46" s="39">
        <f>'스테이지별 골드'!K18</f>
        <v>234</v>
      </c>
      <c r="F46" s="39">
        <f>'스테이지별 골드'!E18</f>
        <v>8</v>
      </c>
      <c r="G46" s="59">
        <f>ROUND(설정!$B$27*(1+설정!$C$27)^(C46-1)*(1+설정!$D$27)^(D46-1),0)</f>
        <v>19</v>
      </c>
      <c r="H46" s="58">
        <f t="shared" si="17"/>
        <v>12.315789473684211</v>
      </c>
      <c r="I46" s="52">
        <f>COUNTIF(설정!$C$34:$C$39,"&lt;="&amp;MAX(1,C46-설정!$E$27))</f>
        <v>4</v>
      </c>
      <c r="J46" s="52">
        <f>MIN(I46,MAX(1,COUNTIF(설정!$B$15:$B$20,"&lt;="&amp;H46)))</f>
        <v>2</v>
      </c>
      <c r="K46" s="52">
        <f t="shared" si="18"/>
        <v>3</v>
      </c>
      <c r="L46" s="59">
        <f>INDEX(설정!$B$15:$B$20,J46)</f>
        <v>5</v>
      </c>
      <c r="M46" s="59">
        <f>INDEX(설정!$B$15:$B$20,K46)</f>
        <v>25</v>
      </c>
      <c r="N46" s="59">
        <f t="shared" si="19"/>
        <v>7</v>
      </c>
      <c r="O46" s="59">
        <f t="shared" si="20"/>
        <v>12</v>
      </c>
      <c r="P46" s="59">
        <f t="shared" si="21"/>
        <v>0</v>
      </c>
      <c r="Q46" s="59">
        <f t="shared" si="22"/>
        <v>0</v>
      </c>
      <c r="R46" s="59">
        <f t="shared" si="23"/>
        <v>0</v>
      </c>
      <c r="S46" s="59">
        <f t="shared" si="24"/>
        <v>7</v>
      </c>
      <c r="T46" s="59">
        <f t="shared" si="25"/>
        <v>12</v>
      </c>
      <c r="U46" s="59">
        <f t="shared" si="26"/>
        <v>0</v>
      </c>
      <c r="V46" s="78">
        <f t="shared" si="27"/>
        <v>19</v>
      </c>
      <c r="W46" s="59">
        <f t="shared" si="28"/>
        <v>235</v>
      </c>
      <c r="X46" s="79">
        <f t="shared" si="29"/>
        <v>4.2735042735042583E-3</v>
      </c>
      <c r="Y46" s="56" t="str">
        <f>INDEX(설정!$A$15:$A$20,IF(N46*M46&gt;=O46*L46,K46,J46))</f>
        <v>사파이어</v>
      </c>
      <c r="Z46" s="39">
        <f>SUMIFS('드랍 구성'!$K$5:$K$102,'드랍 구성'!$A$5:$A$102,B46,'드랍 구성'!$B$5:$B$102,A46)</f>
        <v>14</v>
      </c>
      <c r="AA46" s="80">
        <f t="shared" si="30"/>
        <v>0</v>
      </c>
      <c r="AB46" s="59">
        <f t="shared" si="31"/>
        <v>1880</v>
      </c>
    </row>
    <row r="47" spans="1:28" x14ac:dyDescent="0.3">
      <c r="A47" s="37" t="s">
        <v>66</v>
      </c>
      <c r="B47" s="46" t="str">
        <f>'스테이지별 골드'!C19</f>
        <v>4-3</v>
      </c>
      <c r="C47" s="52">
        <f>MATCH(B47,'스테이지별 골드'!$C$5:$C$32,0)</f>
        <v>15</v>
      </c>
      <c r="D47" s="52">
        <f t="shared" si="16"/>
        <v>4</v>
      </c>
      <c r="E47" s="39">
        <f>'스테이지별 골드'!K19</f>
        <v>281</v>
      </c>
      <c r="F47" s="39">
        <f>'스테이지별 골드'!E19</f>
        <v>8</v>
      </c>
      <c r="G47" s="59">
        <f>ROUND(설정!$B$27*(1+설정!$C$27)^(C47-1)*(1+설정!$D$27)^(D47-1),0)</f>
        <v>19</v>
      </c>
      <c r="H47" s="58">
        <f t="shared" si="17"/>
        <v>14.789473684210526</v>
      </c>
      <c r="I47" s="52">
        <f>COUNTIF(설정!$C$34:$C$39,"&lt;="&amp;MAX(1,C47-설정!$E$27))</f>
        <v>4</v>
      </c>
      <c r="J47" s="52">
        <f>MIN(I47,MAX(1,COUNTIF(설정!$B$15:$B$20,"&lt;="&amp;H47)))</f>
        <v>2</v>
      </c>
      <c r="K47" s="52">
        <f t="shared" si="18"/>
        <v>3</v>
      </c>
      <c r="L47" s="59">
        <f>INDEX(설정!$B$15:$B$20,J47)</f>
        <v>5</v>
      </c>
      <c r="M47" s="59">
        <f>INDEX(설정!$B$15:$B$20,K47)</f>
        <v>25</v>
      </c>
      <c r="N47" s="59">
        <f t="shared" si="19"/>
        <v>9</v>
      </c>
      <c r="O47" s="59">
        <f t="shared" si="20"/>
        <v>10</v>
      </c>
      <c r="P47" s="59">
        <f t="shared" si="21"/>
        <v>0</v>
      </c>
      <c r="Q47" s="59">
        <f t="shared" si="22"/>
        <v>0</v>
      </c>
      <c r="R47" s="59">
        <f t="shared" si="23"/>
        <v>0</v>
      </c>
      <c r="S47" s="59">
        <f t="shared" si="24"/>
        <v>9</v>
      </c>
      <c r="T47" s="59">
        <f t="shared" si="25"/>
        <v>10</v>
      </c>
      <c r="U47" s="59">
        <f t="shared" si="26"/>
        <v>0</v>
      </c>
      <c r="V47" s="78">
        <f t="shared" si="27"/>
        <v>19</v>
      </c>
      <c r="W47" s="59">
        <f t="shared" si="28"/>
        <v>275</v>
      </c>
      <c r="X47" s="79">
        <f t="shared" si="29"/>
        <v>-2.1352313167259829E-2</v>
      </c>
      <c r="Y47" s="56" t="str">
        <f>INDEX(설정!$A$15:$A$20,IF(N47*M47&gt;=O47*L47,K47,J47))</f>
        <v>사파이어</v>
      </c>
      <c r="Z47" s="39">
        <f>SUMIFS('드랍 구성'!$K$5:$K$102,'드랍 구성'!$A$5:$A$102,B47,'드랍 구성'!$B$5:$B$102,A47)</f>
        <v>13</v>
      </c>
      <c r="AA47" s="80">
        <f t="shared" si="30"/>
        <v>0</v>
      </c>
      <c r="AB47" s="59">
        <f t="shared" si="31"/>
        <v>2200</v>
      </c>
    </row>
    <row r="48" spans="1:28" x14ac:dyDescent="0.3">
      <c r="A48" s="37" t="s">
        <v>66</v>
      </c>
      <c r="B48" s="46" t="str">
        <f>'스테이지별 골드'!C20</f>
        <v>4-4</v>
      </c>
      <c r="C48" s="52">
        <f>MATCH(B48,'스테이지별 골드'!$C$5:$C$32,0)</f>
        <v>16</v>
      </c>
      <c r="D48" s="52">
        <f t="shared" si="16"/>
        <v>4</v>
      </c>
      <c r="E48" s="39">
        <f>'스테이지별 골드'!K20</f>
        <v>351</v>
      </c>
      <c r="F48" s="39">
        <f>'스테이지별 골드'!E20</f>
        <v>9</v>
      </c>
      <c r="G48" s="59">
        <f>ROUND(설정!$B$27*(1+설정!$C$27)^(C48-1)*(1+설정!$D$27)^(D48-1),0)</f>
        <v>20</v>
      </c>
      <c r="H48" s="58">
        <f t="shared" si="17"/>
        <v>17.55</v>
      </c>
      <c r="I48" s="52">
        <f>COUNTIF(설정!$C$34:$C$39,"&lt;="&amp;MAX(1,C48-설정!$E$27))</f>
        <v>4</v>
      </c>
      <c r="J48" s="52">
        <f>MIN(I48,MAX(1,COUNTIF(설정!$B$15:$B$20,"&lt;="&amp;H48)))</f>
        <v>2</v>
      </c>
      <c r="K48" s="52">
        <f t="shared" si="18"/>
        <v>3</v>
      </c>
      <c r="L48" s="59">
        <f>INDEX(설정!$B$15:$B$20,J48)</f>
        <v>5</v>
      </c>
      <c r="M48" s="59">
        <f>INDEX(설정!$B$15:$B$20,K48)</f>
        <v>25</v>
      </c>
      <c r="N48" s="59">
        <f t="shared" si="19"/>
        <v>13</v>
      </c>
      <c r="O48" s="59">
        <f t="shared" si="20"/>
        <v>7</v>
      </c>
      <c r="P48" s="59">
        <f t="shared" si="21"/>
        <v>0</v>
      </c>
      <c r="Q48" s="59">
        <f t="shared" si="22"/>
        <v>0</v>
      </c>
      <c r="R48" s="59">
        <f t="shared" si="23"/>
        <v>0</v>
      </c>
      <c r="S48" s="59">
        <f t="shared" si="24"/>
        <v>13</v>
      </c>
      <c r="T48" s="59">
        <f t="shared" si="25"/>
        <v>7</v>
      </c>
      <c r="U48" s="59">
        <f t="shared" si="26"/>
        <v>0</v>
      </c>
      <c r="V48" s="78">
        <f t="shared" si="27"/>
        <v>20</v>
      </c>
      <c r="W48" s="59">
        <f t="shared" si="28"/>
        <v>360</v>
      </c>
      <c r="X48" s="79">
        <f t="shared" si="29"/>
        <v>2.564102564102555E-2</v>
      </c>
      <c r="Y48" s="56" t="str">
        <f>INDEX(설정!$A$15:$A$20,IF(N48*M48&gt;=O48*L48,K48,J48))</f>
        <v>사파이어</v>
      </c>
      <c r="Z48" s="39">
        <f>SUMIFS('드랍 구성'!$K$5:$K$102,'드랍 구성'!$A$5:$A$102,B48,'드랍 구성'!$B$5:$B$102,A48)</f>
        <v>15</v>
      </c>
      <c r="AA48" s="80">
        <f t="shared" si="30"/>
        <v>1</v>
      </c>
      <c r="AB48" s="59">
        <f t="shared" si="31"/>
        <v>3240</v>
      </c>
    </row>
    <row r="49" spans="1:28" x14ac:dyDescent="0.3">
      <c r="A49" s="37" t="s">
        <v>66</v>
      </c>
      <c r="B49" s="46" t="str">
        <f>'스테이지별 골드'!C21</f>
        <v>5-1</v>
      </c>
      <c r="C49" s="52">
        <f>MATCH(B49,'스테이지별 골드'!$C$5:$C$32,0)</f>
        <v>17</v>
      </c>
      <c r="D49" s="52">
        <f t="shared" si="16"/>
        <v>5</v>
      </c>
      <c r="E49" s="39">
        <f>'스테이지별 골드'!K21</f>
        <v>421</v>
      </c>
      <c r="F49" s="39">
        <f>'스테이지별 골드'!E21</f>
        <v>9</v>
      </c>
      <c r="G49" s="59">
        <f>ROUND(설정!$B$27*(1+설정!$C$27)^(C49-1)*(1+설정!$D$27)^(D49-1),0)</f>
        <v>22</v>
      </c>
      <c r="H49" s="58">
        <f t="shared" si="17"/>
        <v>19.136363636363637</v>
      </c>
      <c r="I49" s="52">
        <f>COUNTIF(설정!$C$34:$C$39,"&lt;="&amp;MAX(1,C49-설정!$E$27))</f>
        <v>4</v>
      </c>
      <c r="J49" s="52">
        <f>MIN(I49,MAX(1,COUNTIF(설정!$B$15:$B$20,"&lt;="&amp;H49)))</f>
        <v>2</v>
      </c>
      <c r="K49" s="52">
        <f t="shared" si="18"/>
        <v>3</v>
      </c>
      <c r="L49" s="59">
        <f>INDEX(설정!$B$15:$B$20,J49)</f>
        <v>5</v>
      </c>
      <c r="M49" s="59">
        <f>INDEX(설정!$B$15:$B$20,K49)</f>
        <v>25</v>
      </c>
      <c r="N49" s="59">
        <f t="shared" si="19"/>
        <v>16</v>
      </c>
      <c r="O49" s="59">
        <f t="shared" si="20"/>
        <v>6</v>
      </c>
      <c r="P49" s="59">
        <f t="shared" si="21"/>
        <v>0</v>
      </c>
      <c r="Q49" s="59">
        <f t="shared" si="22"/>
        <v>0</v>
      </c>
      <c r="R49" s="59">
        <f t="shared" si="23"/>
        <v>0</v>
      </c>
      <c r="S49" s="59">
        <f t="shared" si="24"/>
        <v>16</v>
      </c>
      <c r="T49" s="59">
        <f t="shared" si="25"/>
        <v>6</v>
      </c>
      <c r="U49" s="59">
        <f t="shared" si="26"/>
        <v>0</v>
      </c>
      <c r="V49" s="78">
        <f t="shared" si="27"/>
        <v>22</v>
      </c>
      <c r="W49" s="59">
        <f t="shared" si="28"/>
        <v>430</v>
      </c>
      <c r="X49" s="79">
        <f t="shared" si="29"/>
        <v>2.1377672209026199E-2</v>
      </c>
      <c r="Y49" s="56" t="str">
        <f>INDEX(설정!$A$15:$A$20,IF(N49*M49&gt;=O49*L49,K49,J49))</f>
        <v>사파이어</v>
      </c>
      <c r="Z49" s="39">
        <f>SUMIFS('드랍 구성'!$K$5:$K$102,'드랍 구성'!$A$5:$A$102,B49,'드랍 구성'!$B$5:$B$102,A49)</f>
        <v>21</v>
      </c>
      <c r="AA49" s="80">
        <f t="shared" si="30"/>
        <v>2</v>
      </c>
      <c r="AB49" s="59">
        <f t="shared" si="31"/>
        <v>3870</v>
      </c>
    </row>
    <row r="50" spans="1:28" x14ac:dyDescent="0.3">
      <c r="A50" s="37" t="s">
        <v>66</v>
      </c>
      <c r="B50" s="46" t="str">
        <f>'스테이지별 골드'!C22</f>
        <v>5-2</v>
      </c>
      <c r="C50" s="52">
        <f>MATCH(B50,'스테이지별 골드'!$C$5:$C$32,0)</f>
        <v>18</v>
      </c>
      <c r="D50" s="52">
        <f t="shared" si="16"/>
        <v>5</v>
      </c>
      <c r="E50" s="39">
        <f>'스테이지별 골드'!K22</f>
        <v>530</v>
      </c>
      <c r="F50" s="39">
        <f>'스테이지별 골드'!E22</f>
        <v>10</v>
      </c>
      <c r="G50" s="59">
        <f>ROUND(설정!$B$27*(1+설정!$C$27)^(C50-1)*(1+설정!$D$27)^(D50-1),0)</f>
        <v>22</v>
      </c>
      <c r="H50" s="58">
        <f t="shared" si="17"/>
        <v>24.09090909090909</v>
      </c>
      <c r="I50" s="52">
        <f>COUNTIF(설정!$C$34:$C$39,"&lt;="&amp;MAX(1,C50-설정!$E$27))</f>
        <v>4</v>
      </c>
      <c r="J50" s="52">
        <f>MIN(I50,MAX(1,COUNTIF(설정!$B$15:$B$20,"&lt;="&amp;H50)))</f>
        <v>2</v>
      </c>
      <c r="K50" s="52">
        <f t="shared" si="18"/>
        <v>3</v>
      </c>
      <c r="L50" s="59">
        <f>INDEX(설정!$B$15:$B$20,J50)</f>
        <v>5</v>
      </c>
      <c r="M50" s="59">
        <f>INDEX(설정!$B$15:$B$20,K50)</f>
        <v>25</v>
      </c>
      <c r="N50" s="59">
        <f t="shared" si="19"/>
        <v>21</v>
      </c>
      <c r="O50" s="59">
        <f t="shared" si="20"/>
        <v>1</v>
      </c>
      <c r="P50" s="59">
        <f t="shared" si="21"/>
        <v>0</v>
      </c>
      <c r="Q50" s="59">
        <f t="shared" si="22"/>
        <v>0</v>
      </c>
      <c r="R50" s="59">
        <f t="shared" si="23"/>
        <v>0</v>
      </c>
      <c r="S50" s="59">
        <f t="shared" si="24"/>
        <v>21</v>
      </c>
      <c r="T50" s="59">
        <f t="shared" si="25"/>
        <v>1</v>
      </c>
      <c r="U50" s="59">
        <f t="shared" si="26"/>
        <v>0</v>
      </c>
      <c r="V50" s="78">
        <f t="shared" si="27"/>
        <v>22</v>
      </c>
      <c r="W50" s="59">
        <f t="shared" si="28"/>
        <v>530</v>
      </c>
      <c r="X50" s="79">
        <f t="shared" si="29"/>
        <v>0</v>
      </c>
      <c r="Y50" s="56" t="str">
        <f>INDEX(설정!$A$15:$A$20,IF(N50*M50&gt;=O50*L50,K50,J50))</f>
        <v>사파이어</v>
      </c>
      <c r="Z50" s="39">
        <f>SUMIFS('드랍 구성'!$K$5:$K$102,'드랍 구성'!$A$5:$A$102,B50,'드랍 구성'!$B$5:$B$102,A50)</f>
        <v>7</v>
      </c>
      <c r="AA50" s="80">
        <f t="shared" si="30"/>
        <v>0</v>
      </c>
      <c r="AB50" s="59">
        <f t="shared" si="31"/>
        <v>5300</v>
      </c>
    </row>
    <row r="51" spans="1:28" x14ac:dyDescent="0.3">
      <c r="A51" s="37" t="s">
        <v>66</v>
      </c>
      <c r="B51" s="46" t="str">
        <f>'스테이지별 골드'!C23</f>
        <v>5-3</v>
      </c>
      <c r="C51" s="52">
        <f>MATCH(B51,'스테이지별 골드'!$C$5:$C$32,0)</f>
        <v>19</v>
      </c>
      <c r="D51" s="52">
        <f t="shared" si="16"/>
        <v>5</v>
      </c>
      <c r="E51" s="39">
        <f>'스테이지별 골드'!K23</f>
        <v>640</v>
      </c>
      <c r="F51" s="39">
        <f>'스테이지별 골드'!E23</f>
        <v>10</v>
      </c>
      <c r="G51" s="59">
        <f>ROUND(설정!$B$27*(1+설정!$C$27)^(C51-1)*(1+설정!$D$27)^(D51-1),0)</f>
        <v>22</v>
      </c>
      <c r="H51" s="58">
        <f t="shared" si="17"/>
        <v>29.09090909090909</v>
      </c>
      <c r="I51" s="52">
        <f>COUNTIF(설정!$C$34:$C$39,"&lt;="&amp;MAX(1,C51-설정!$E$27))</f>
        <v>4</v>
      </c>
      <c r="J51" s="52">
        <f>MIN(I51,MAX(1,COUNTIF(설정!$B$15:$B$20,"&lt;="&amp;H51)))</f>
        <v>3</v>
      </c>
      <c r="K51" s="52">
        <f t="shared" si="18"/>
        <v>4</v>
      </c>
      <c r="L51" s="59">
        <f>INDEX(설정!$B$15:$B$20,J51)</f>
        <v>25</v>
      </c>
      <c r="M51" s="59">
        <f>INDEX(설정!$B$15:$B$20,K51)</f>
        <v>100</v>
      </c>
      <c r="N51" s="59">
        <f t="shared" si="19"/>
        <v>1</v>
      </c>
      <c r="O51" s="59">
        <f t="shared" si="20"/>
        <v>21</v>
      </c>
      <c r="P51" s="59">
        <f t="shared" si="21"/>
        <v>0</v>
      </c>
      <c r="Q51" s="59">
        <f t="shared" si="22"/>
        <v>0</v>
      </c>
      <c r="R51" s="59">
        <f t="shared" si="23"/>
        <v>1</v>
      </c>
      <c r="S51" s="59">
        <f t="shared" si="24"/>
        <v>21</v>
      </c>
      <c r="T51" s="59">
        <f t="shared" si="25"/>
        <v>0</v>
      </c>
      <c r="U51" s="59">
        <f t="shared" si="26"/>
        <v>0</v>
      </c>
      <c r="V51" s="78">
        <f t="shared" si="27"/>
        <v>22</v>
      </c>
      <c r="W51" s="59">
        <f t="shared" si="28"/>
        <v>625</v>
      </c>
      <c r="X51" s="79">
        <f t="shared" si="29"/>
        <v>-2.34375E-2</v>
      </c>
      <c r="Y51" s="56" t="str">
        <f>INDEX(설정!$A$15:$A$20,IF(N51*M51&gt;=O51*L51,K51,J51))</f>
        <v>사파이어</v>
      </c>
      <c r="Z51" s="39">
        <f>SUMIFS('드랍 구성'!$K$5:$K$102,'드랍 구성'!$A$5:$A$102,B51,'드랍 구성'!$B$5:$B$102,A51)</f>
        <v>10</v>
      </c>
      <c r="AA51" s="80">
        <f t="shared" si="30"/>
        <v>0</v>
      </c>
      <c r="AB51" s="59">
        <f t="shared" si="31"/>
        <v>6250</v>
      </c>
    </row>
    <row r="52" spans="1:28" x14ac:dyDescent="0.3">
      <c r="A52" s="37" t="s">
        <v>66</v>
      </c>
      <c r="B52" s="46" t="str">
        <f>'스테이지별 골드'!C24</f>
        <v>5-4</v>
      </c>
      <c r="C52" s="52">
        <f>MATCH(B52,'스테이지별 골드'!$C$5:$C$32,0)</f>
        <v>20</v>
      </c>
      <c r="D52" s="52">
        <f t="shared" si="16"/>
        <v>5</v>
      </c>
      <c r="E52" s="39">
        <f>'스테이지별 골드'!K24</f>
        <v>796</v>
      </c>
      <c r="F52" s="39">
        <f>'스테이지별 골드'!E24</f>
        <v>11</v>
      </c>
      <c r="G52" s="59">
        <f>ROUND(설정!$B$27*(1+설정!$C$27)^(C52-1)*(1+설정!$D$27)^(D52-1),0)</f>
        <v>23</v>
      </c>
      <c r="H52" s="58">
        <f t="shared" si="17"/>
        <v>34.608695652173914</v>
      </c>
      <c r="I52" s="52">
        <f>COUNTIF(설정!$C$34:$C$39,"&lt;="&amp;MAX(1,C52-설정!$E$27))</f>
        <v>4</v>
      </c>
      <c r="J52" s="52">
        <f>MIN(I52,MAX(1,COUNTIF(설정!$B$15:$B$20,"&lt;="&amp;H52)))</f>
        <v>3</v>
      </c>
      <c r="K52" s="52">
        <f t="shared" si="18"/>
        <v>4</v>
      </c>
      <c r="L52" s="59">
        <f>INDEX(설정!$B$15:$B$20,J52)</f>
        <v>25</v>
      </c>
      <c r="M52" s="59">
        <f>INDEX(설정!$B$15:$B$20,K52)</f>
        <v>100</v>
      </c>
      <c r="N52" s="59">
        <f t="shared" si="19"/>
        <v>3</v>
      </c>
      <c r="O52" s="59">
        <f t="shared" si="20"/>
        <v>20</v>
      </c>
      <c r="P52" s="59">
        <f t="shared" si="21"/>
        <v>0</v>
      </c>
      <c r="Q52" s="59">
        <f t="shared" si="22"/>
        <v>0</v>
      </c>
      <c r="R52" s="59">
        <f t="shared" si="23"/>
        <v>3</v>
      </c>
      <c r="S52" s="59">
        <f t="shared" si="24"/>
        <v>20</v>
      </c>
      <c r="T52" s="59">
        <f t="shared" si="25"/>
        <v>0</v>
      </c>
      <c r="U52" s="59">
        <f t="shared" si="26"/>
        <v>0</v>
      </c>
      <c r="V52" s="78">
        <f t="shared" si="27"/>
        <v>23</v>
      </c>
      <c r="W52" s="59">
        <f t="shared" si="28"/>
        <v>800</v>
      </c>
      <c r="X52" s="79">
        <f t="shared" si="29"/>
        <v>5.0251256281406143E-3</v>
      </c>
      <c r="Y52" s="56" t="str">
        <f>INDEX(설정!$A$15:$A$20,IF(N52*M52&gt;=O52*L52,K52,J52))</f>
        <v>사파이어</v>
      </c>
      <c r="Z52" s="39">
        <f>SUMIFS('드랍 구성'!$K$5:$K$102,'드랍 구성'!$A$5:$A$102,B52,'드랍 구성'!$B$5:$B$102,A52)</f>
        <v>15</v>
      </c>
      <c r="AA52" s="80">
        <f t="shared" si="30"/>
        <v>1</v>
      </c>
      <c r="AB52" s="59">
        <f t="shared" si="31"/>
        <v>8800</v>
      </c>
    </row>
    <row r="53" spans="1:28" x14ac:dyDescent="0.3">
      <c r="A53" s="37" t="s">
        <v>66</v>
      </c>
      <c r="B53" s="46" t="str">
        <f>'스테이지별 골드'!C25</f>
        <v>6-1</v>
      </c>
      <c r="C53" s="52">
        <f>MATCH(B53,'스테이지별 골드'!$C$5:$C$32,0)</f>
        <v>21</v>
      </c>
      <c r="D53" s="52">
        <f t="shared" si="16"/>
        <v>6</v>
      </c>
      <c r="E53" s="39">
        <f>'스테이지별 골드'!K25</f>
        <v>967</v>
      </c>
      <c r="F53" s="39">
        <f>'스테이지별 골드'!E25</f>
        <v>11</v>
      </c>
      <c r="G53" s="59">
        <f>ROUND(설정!$B$27*(1+설정!$C$27)^(C53-1)*(1+설정!$D$27)^(D53-1),0)</f>
        <v>25</v>
      </c>
      <c r="H53" s="58">
        <f t="shared" si="17"/>
        <v>38.68</v>
      </c>
      <c r="I53" s="52">
        <f>COUNTIF(설정!$C$34:$C$39,"&lt;="&amp;MAX(1,C53-설정!$E$27))</f>
        <v>5</v>
      </c>
      <c r="J53" s="52">
        <f>MIN(I53,MAX(1,COUNTIF(설정!$B$15:$B$20,"&lt;="&amp;H53)))</f>
        <v>3</v>
      </c>
      <c r="K53" s="52">
        <f t="shared" si="18"/>
        <v>4</v>
      </c>
      <c r="L53" s="59">
        <f>INDEX(설정!$B$15:$B$20,J53)</f>
        <v>25</v>
      </c>
      <c r="M53" s="59">
        <f>INDEX(설정!$B$15:$B$20,K53)</f>
        <v>100</v>
      </c>
      <c r="N53" s="59">
        <f t="shared" si="19"/>
        <v>5</v>
      </c>
      <c r="O53" s="59">
        <f t="shared" si="20"/>
        <v>20</v>
      </c>
      <c r="P53" s="59">
        <f t="shared" si="21"/>
        <v>0</v>
      </c>
      <c r="Q53" s="59">
        <f t="shared" si="22"/>
        <v>0</v>
      </c>
      <c r="R53" s="59">
        <f t="shared" si="23"/>
        <v>5</v>
      </c>
      <c r="S53" s="59">
        <f t="shared" si="24"/>
        <v>20</v>
      </c>
      <c r="T53" s="59">
        <f t="shared" si="25"/>
        <v>0</v>
      </c>
      <c r="U53" s="59">
        <f t="shared" si="26"/>
        <v>0</v>
      </c>
      <c r="V53" s="78">
        <f t="shared" si="27"/>
        <v>25</v>
      </c>
      <c r="W53" s="59">
        <f t="shared" si="28"/>
        <v>1000</v>
      </c>
      <c r="X53" s="79">
        <f t="shared" si="29"/>
        <v>3.4126163391933861E-2</v>
      </c>
      <c r="Y53" s="56" t="str">
        <f>INDEX(설정!$A$15:$A$20,IF(N53*M53&gt;=O53*L53,K53,J53))</f>
        <v>루비</v>
      </c>
      <c r="Z53" s="39">
        <f>SUMIFS('드랍 구성'!$K$5:$K$102,'드랍 구성'!$A$5:$A$102,B53,'드랍 구성'!$B$5:$B$102,A53)</f>
        <v>16</v>
      </c>
      <c r="AA53" s="80">
        <f t="shared" si="30"/>
        <v>2</v>
      </c>
      <c r="AB53" s="59">
        <f t="shared" si="31"/>
        <v>11000</v>
      </c>
    </row>
    <row r="54" spans="1:28" x14ac:dyDescent="0.3">
      <c r="A54" s="37" t="s">
        <v>66</v>
      </c>
      <c r="B54" s="46" t="str">
        <f>'스테이지별 골드'!C26</f>
        <v>6-2</v>
      </c>
      <c r="C54" s="52">
        <f>MATCH(B54,'스테이지별 골드'!$C$5:$C$32,0)</f>
        <v>22</v>
      </c>
      <c r="D54" s="52">
        <f t="shared" si="16"/>
        <v>6</v>
      </c>
      <c r="E54" s="39">
        <f>'스테이지별 골드'!K26</f>
        <v>1201</v>
      </c>
      <c r="F54" s="39">
        <f>'스테이지별 골드'!E26</f>
        <v>12</v>
      </c>
      <c r="G54" s="59">
        <f>ROUND(설정!$B$27*(1+설정!$C$27)^(C54-1)*(1+설정!$D$27)^(D54-1),0)</f>
        <v>26</v>
      </c>
      <c r="H54" s="58">
        <f t="shared" si="17"/>
        <v>46.192307692307693</v>
      </c>
      <c r="I54" s="52">
        <f>COUNTIF(설정!$C$34:$C$39,"&lt;="&amp;MAX(1,C54-설정!$E$27))</f>
        <v>5</v>
      </c>
      <c r="J54" s="52">
        <f>MIN(I54,MAX(1,COUNTIF(설정!$B$15:$B$20,"&lt;="&amp;H54)))</f>
        <v>3</v>
      </c>
      <c r="K54" s="52">
        <f t="shared" si="18"/>
        <v>4</v>
      </c>
      <c r="L54" s="59">
        <f>INDEX(설정!$B$15:$B$20,J54)</f>
        <v>25</v>
      </c>
      <c r="M54" s="59">
        <f>INDEX(설정!$B$15:$B$20,K54)</f>
        <v>100</v>
      </c>
      <c r="N54" s="59">
        <f t="shared" si="19"/>
        <v>7</v>
      </c>
      <c r="O54" s="59">
        <f t="shared" si="20"/>
        <v>19</v>
      </c>
      <c r="P54" s="59">
        <f t="shared" si="21"/>
        <v>0</v>
      </c>
      <c r="Q54" s="59">
        <f t="shared" si="22"/>
        <v>0</v>
      </c>
      <c r="R54" s="59">
        <f t="shared" si="23"/>
        <v>7</v>
      </c>
      <c r="S54" s="59">
        <f t="shared" si="24"/>
        <v>19</v>
      </c>
      <c r="T54" s="59">
        <f t="shared" si="25"/>
        <v>0</v>
      </c>
      <c r="U54" s="59">
        <f t="shared" si="26"/>
        <v>0</v>
      </c>
      <c r="V54" s="78">
        <f t="shared" si="27"/>
        <v>26</v>
      </c>
      <c r="W54" s="59">
        <f t="shared" si="28"/>
        <v>1175</v>
      </c>
      <c r="X54" s="79">
        <f t="shared" si="29"/>
        <v>-2.1648626144879279E-2</v>
      </c>
      <c r="Y54" s="56" t="str">
        <f>INDEX(설정!$A$15:$A$20,IF(N54*M54&gt;=O54*L54,K54,J54))</f>
        <v>루비</v>
      </c>
      <c r="Z54" s="39">
        <f>SUMIFS('드랍 구성'!$K$5:$K$102,'드랍 구성'!$A$5:$A$102,B54,'드랍 구성'!$B$5:$B$102,A54)</f>
        <v>13</v>
      </c>
      <c r="AA54" s="80">
        <f t="shared" si="30"/>
        <v>1</v>
      </c>
      <c r="AB54" s="59">
        <f t="shared" si="31"/>
        <v>14100</v>
      </c>
    </row>
    <row r="55" spans="1:28" x14ac:dyDescent="0.3">
      <c r="A55" s="37" t="s">
        <v>66</v>
      </c>
      <c r="B55" s="46" t="str">
        <f>'스테이지별 골드'!C27</f>
        <v>6-3</v>
      </c>
      <c r="C55" s="52">
        <f>MATCH(B55,'스테이지별 골드'!$C$5:$C$32,0)</f>
        <v>23</v>
      </c>
      <c r="D55" s="52">
        <f t="shared" si="16"/>
        <v>6</v>
      </c>
      <c r="E55" s="39">
        <f>'스테이지별 골드'!K27</f>
        <v>1451</v>
      </c>
      <c r="F55" s="39">
        <f>'스테이지별 골드'!E27</f>
        <v>12</v>
      </c>
      <c r="G55" s="59">
        <f>ROUND(설정!$B$27*(1+설정!$C$27)^(C55-1)*(1+설정!$D$27)^(D55-1),0)</f>
        <v>26</v>
      </c>
      <c r="H55" s="58">
        <f t="shared" si="17"/>
        <v>55.807692307692307</v>
      </c>
      <c r="I55" s="52">
        <f>COUNTIF(설정!$C$34:$C$39,"&lt;="&amp;MAX(1,C55-설정!$E$27))</f>
        <v>5</v>
      </c>
      <c r="J55" s="52">
        <f>MIN(I55,MAX(1,COUNTIF(설정!$B$15:$B$20,"&lt;="&amp;H55)))</f>
        <v>3</v>
      </c>
      <c r="K55" s="52">
        <f t="shared" si="18"/>
        <v>4</v>
      </c>
      <c r="L55" s="59">
        <f>INDEX(설정!$B$15:$B$20,J55)</f>
        <v>25</v>
      </c>
      <c r="M55" s="59">
        <f>INDEX(설정!$B$15:$B$20,K55)</f>
        <v>100</v>
      </c>
      <c r="N55" s="59">
        <f t="shared" si="19"/>
        <v>11</v>
      </c>
      <c r="O55" s="59">
        <f t="shared" si="20"/>
        <v>15</v>
      </c>
      <c r="P55" s="59">
        <f t="shared" si="21"/>
        <v>0</v>
      </c>
      <c r="Q55" s="59">
        <f t="shared" si="22"/>
        <v>0</v>
      </c>
      <c r="R55" s="59">
        <f t="shared" si="23"/>
        <v>11</v>
      </c>
      <c r="S55" s="59">
        <f t="shared" si="24"/>
        <v>15</v>
      </c>
      <c r="T55" s="59">
        <f t="shared" si="25"/>
        <v>0</v>
      </c>
      <c r="U55" s="59">
        <f t="shared" si="26"/>
        <v>0</v>
      </c>
      <c r="V55" s="78">
        <f t="shared" si="27"/>
        <v>26</v>
      </c>
      <c r="W55" s="59">
        <f t="shared" si="28"/>
        <v>1475</v>
      </c>
      <c r="X55" s="79">
        <f t="shared" si="29"/>
        <v>1.6540317022742945E-2</v>
      </c>
      <c r="Y55" s="56" t="str">
        <f>INDEX(설정!$A$15:$A$20,IF(N55*M55&gt;=O55*L55,K55,J55))</f>
        <v>루비</v>
      </c>
      <c r="Z55" s="39">
        <f>SUMIFS('드랍 구성'!$K$5:$K$102,'드랍 구성'!$A$5:$A$102,B55,'드랍 구성'!$B$5:$B$102,A55)</f>
        <v>17</v>
      </c>
      <c r="AA55" s="80">
        <f t="shared" si="30"/>
        <v>0</v>
      </c>
      <c r="AB55" s="59">
        <f t="shared" si="31"/>
        <v>17700</v>
      </c>
    </row>
    <row r="56" spans="1:28" x14ac:dyDescent="0.3">
      <c r="A56" s="37" t="s">
        <v>66</v>
      </c>
      <c r="B56" s="46" t="str">
        <f>'스테이지별 골드'!C28</f>
        <v>6-4</v>
      </c>
      <c r="C56" s="52">
        <f>MATCH(B56,'스테이지별 골드'!$C$5:$C$32,0)</f>
        <v>24</v>
      </c>
      <c r="D56" s="52">
        <f t="shared" si="16"/>
        <v>6</v>
      </c>
      <c r="E56" s="39">
        <f>'스테이지별 골드'!K28</f>
        <v>1810</v>
      </c>
      <c r="F56" s="39">
        <f>'스테이지별 골드'!E28</f>
        <v>13</v>
      </c>
      <c r="G56" s="59">
        <f>ROUND(설정!$B$27*(1+설정!$C$27)^(C56-1)*(1+설정!$D$27)^(D56-1),0)</f>
        <v>27</v>
      </c>
      <c r="H56" s="58">
        <f t="shared" si="17"/>
        <v>67.037037037037038</v>
      </c>
      <c r="I56" s="52">
        <f>COUNTIF(설정!$C$34:$C$39,"&lt;="&amp;MAX(1,C56-설정!$E$27))</f>
        <v>5</v>
      </c>
      <c r="J56" s="52">
        <f>MIN(I56,MAX(1,COUNTIF(설정!$B$15:$B$20,"&lt;="&amp;H56)))</f>
        <v>3</v>
      </c>
      <c r="K56" s="52">
        <f t="shared" si="18"/>
        <v>4</v>
      </c>
      <c r="L56" s="59">
        <f>INDEX(설정!$B$15:$B$20,J56)</f>
        <v>25</v>
      </c>
      <c r="M56" s="59">
        <f>INDEX(설정!$B$15:$B$20,K56)</f>
        <v>100</v>
      </c>
      <c r="N56" s="59">
        <f t="shared" si="19"/>
        <v>15</v>
      </c>
      <c r="O56" s="59">
        <f t="shared" si="20"/>
        <v>12</v>
      </c>
      <c r="P56" s="59">
        <f t="shared" si="21"/>
        <v>0</v>
      </c>
      <c r="Q56" s="59">
        <f t="shared" si="22"/>
        <v>0</v>
      </c>
      <c r="R56" s="59">
        <f t="shared" si="23"/>
        <v>15</v>
      </c>
      <c r="S56" s="59">
        <f t="shared" si="24"/>
        <v>12</v>
      </c>
      <c r="T56" s="59">
        <f t="shared" si="25"/>
        <v>0</v>
      </c>
      <c r="U56" s="59">
        <f t="shared" si="26"/>
        <v>0</v>
      </c>
      <c r="V56" s="78">
        <f t="shared" si="27"/>
        <v>27</v>
      </c>
      <c r="W56" s="59">
        <f t="shared" si="28"/>
        <v>1800</v>
      </c>
      <c r="X56" s="79">
        <f t="shared" si="29"/>
        <v>-5.5248618784530246E-3</v>
      </c>
      <c r="Y56" s="56" t="str">
        <f>INDEX(설정!$A$15:$A$20,IF(N56*M56&gt;=O56*L56,K56,J56))</f>
        <v>루비</v>
      </c>
      <c r="Z56" s="39">
        <f>SUMIFS('드랍 구성'!$K$5:$K$102,'드랍 구성'!$A$5:$A$102,B56,'드랍 구성'!$B$5:$B$102,A56)</f>
        <v>20</v>
      </c>
      <c r="AA56" s="80">
        <f t="shared" si="30"/>
        <v>1</v>
      </c>
      <c r="AB56" s="59">
        <f t="shared" si="31"/>
        <v>23400</v>
      </c>
    </row>
    <row r="57" spans="1:28" x14ac:dyDescent="0.3">
      <c r="A57" s="37" t="s">
        <v>66</v>
      </c>
      <c r="B57" s="46" t="str">
        <f>'스테이지별 골드'!C29</f>
        <v>7-1</v>
      </c>
      <c r="C57" s="52">
        <f>MATCH(B57,'스테이지별 골드'!$C$5:$C$32,0)</f>
        <v>25</v>
      </c>
      <c r="D57" s="52">
        <f t="shared" si="16"/>
        <v>7</v>
      </c>
      <c r="E57" s="39">
        <f>'스테이지별 골드'!K29</f>
        <v>2184</v>
      </c>
      <c r="F57" s="39">
        <f>'스테이지별 골드'!E29</f>
        <v>13</v>
      </c>
      <c r="G57" s="59">
        <f>ROUND(설정!$B$27*(1+설정!$C$27)^(C57-1)*(1+설정!$D$27)^(D57-1),0)</f>
        <v>29</v>
      </c>
      <c r="H57" s="58">
        <f t="shared" si="17"/>
        <v>75.310344827586206</v>
      </c>
      <c r="I57" s="52">
        <f>COUNTIF(설정!$C$34:$C$39,"&lt;="&amp;MAX(1,C57-설정!$E$27))</f>
        <v>5</v>
      </c>
      <c r="J57" s="52">
        <f>MIN(I57,MAX(1,COUNTIF(설정!$B$15:$B$20,"&lt;="&amp;H57)))</f>
        <v>3</v>
      </c>
      <c r="K57" s="52">
        <f t="shared" si="18"/>
        <v>4</v>
      </c>
      <c r="L57" s="59">
        <f>INDEX(설정!$B$15:$B$20,J57)</f>
        <v>25</v>
      </c>
      <c r="M57" s="59">
        <f>INDEX(설정!$B$15:$B$20,K57)</f>
        <v>100</v>
      </c>
      <c r="N57" s="59">
        <f t="shared" si="19"/>
        <v>19</v>
      </c>
      <c r="O57" s="59">
        <f t="shared" si="20"/>
        <v>10</v>
      </c>
      <c r="P57" s="59">
        <f t="shared" si="21"/>
        <v>0</v>
      </c>
      <c r="Q57" s="59">
        <f t="shared" si="22"/>
        <v>0</v>
      </c>
      <c r="R57" s="59">
        <f t="shared" si="23"/>
        <v>19</v>
      </c>
      <c r="S57" s="59">
        <f t="shared" si="24"/>
        <v>10</v>
      </c>
      <c r="T57" s="59">
        <f t="shared" si="25"/>
        <v>0</v>
      </c>
      <c r="U57" s="59">
        <f t="shared" si="26"/>
        <v>0</v>
      </c>
      <c r="V57" s="78">
        <f t="shared" si="27"/>
        <v>29</v>
      </c>
      <c r="W57" s="59">
        <f t="shared" si="28"/>
        <v>2150</v>
      </c>
      <c r="X57" s="79">
        <f t="shared" si="29"/>
        <v>-1.5567765567765512E-2</v>
      </c>
      <c r="Y57" s="56" t="str">
        <f>INDEX(설정!$A$15:$A$20,IF(N57*M57&gt;=O57*L57,K57,J57))</f>
        <v>루비</v>
      </c>
      <c r="Z57" s="39">
        <f>SUMIFS('드랍 구성'!$K$5:$K$102,'드랍 구성'!$A$5:$A$102,B57,'드랍 구성'!$B$5:$B$102,A57)</f>
        <v>29</v>
      </c>
      <c r="AA57" s="80">
        <f t="shared" si="30"/>
        <v>2</v>
      </c>
      <c r="AB57" s="59">
        <f t="shared" si="31"/>
        <v>27950</v>
      </c>
    </row>
    <row r="58" spans="1:28" x14ac:dyDescent="0.3">
      <c r="A58" s="37" t="s">
        <v>66</v>
      </c>
      <c r="B58" s="46" t="str">
        <f>'스테이지별 골드'!C30</f>
        <v>7-2</v>
      </c>
      <c r="C58" s="52">
        <f>MATCH(B58,'스테이지별 골드'!$C$5:$C$32,0)</f>
        <v>26</v>
      </c>
      <c r="D58" s="52">
        <f t="shared" si="16"/>
        <v>7</v>
      </c>
      <c r="E58" s="39">
        <f>'스테이지별 골드'!K30</f>
        <v>2730</v>
      </c>
      <c r="F58" s="39">
        <f>'스테이지별 골드'!E30</f>
        <v>14</v>
      </c>
      <c r="G58" s="59">
        <f>ROUND(설정!$B$27*(1+설정!$C$27)^(C58-1)*(1+설정!$D$27)^(D58-1),0)</f>
        <v>30</v>
      </c>
      <c r="H58" s="58">
        <f t="shared" si="17"/>
        <v>91</v>
      </c>
      <c r="I58" s="52">
        <f>COUNTIF(설정!$C$34:$C$39,"&lt;="&amp;MAX(1,C58-설정!$E$27))</f>
        <v>5</v>
      </c>
      <c r="J58" s="52">
        <f>MIN(I58,MAX(1,COUNTIF(설정!$B$15:$B$20,"&lt;="&amp;H58)))</f>
        <v>3</v>
      </c>
      <c r="K58" s="52">
        <f t="shared" si="18"/>
        <v>4</v>
      </c>
      <c r="L58" s="59">
        <f>INDEX(설정!$B$15:$B$20,J58)</f>
        <v>25</v>
      </c>
      <c r="M58" s="59">
        <f>INDEX(설정!$B$15:$B$20,K58)</f>
        <v>100</v>
      </c>
      <c r="N58" s="59">
        <f t="shared" si="19"/>
        <v>26</v>
      </c>
      <c r="O58" s="59">
        <f t="shared" si="20"/>
        <v>4</v>
      </c>
      <c r="P58" s="59">
        <f t="shared" si="21"/>
        <v>0</v>
      </c>
      <c r="Q58" s="59">
        <f t="shared" si="22"/>
        <v>0</v>
      </c>
      <c r="R58" s="59">
        <f t="shared" si="23"/>
        <v>26</v>
      </c>
      <c r="S58" s="59">
        <f t="shared" si="24"/>
        <v>4</v>
      </c>
      <c r="T58" s="59">
        <f t="shared" si="25"/>
        <v>0</v>
      </c>
      <c r="U58" s="59">
        <f t="shared" si="26"/>
        <v>0</v>
      </c>
      <c r="V58" s="78">
        <f t="shared" si="27"/>
        <v>30</v>
      </c>
      <c r="W58" s="59">
        <f t="shared" si="28"/>
        <v>2700</v>
      </c>
      <c r="X58" s="79">
        <f t="shared" si="29"/>
        <v>-1.098901098901095E-2</v>
      </c>
      <c r="Y58" s="56" t="str">
        <f>INDEX(설정!$A$15:$A$20,IF(N58*M58&gt;=O58*L58,K58,J58))</f>
        <v>루비</v>
      </c>
      <c r="Z58" s="39">
        <f>SUMIFS('드랍 구성'!$K$5:$K$102,'드랍 구성'!$A$5:$A$102,B58,'드랍 구성'!$B$5:$B$102,A58)</f>
        <v>9</v>
      </c>
      <c r="AA58" s="80">
        <f t="shared" si="30"/>
        <v>1</v>
      </c>
      <c r="AB58" s="59">
        <f t="shared" si="31"/>
        <v>37800</v>
      </c>
    </row>
    <row r="59" spans="1:28" x14ac:dyDescent="0.3">
      <c r="A59" s="37" t="s">
        <v>66</v>
      </c>
      <c r="B59" s="46" t="str">
        <f>'스테이지별 골드'!C31</f>
        <v>7-3</v>
      </c>
      <c r="C59" s="52">
        <f>MATCH(B59,'스테이지별 골드'!$C$5:$C$32,0)</f>
        <v>27</v>
      </c>
      <c r="D59" s="52">
        <f t="shared" si="16"/>
        <v>7</v>
      </c>
      <c r="E59" s="39">
        <f>'스테이지별 골드'!K31</f>
        <v>3276</v>
      </c>
      <c r="F59" s="39">
        <f>'스테이지별 골드'!E31</f>
        <v>14</v>
      </c>
      <c r="G59" s="59">
        <f>ROUND(설정!$B$27*(1+설정!$C$27)^(C59-1)*(1+설정!$D$27)^(D59-1),0)</f>
        <v>30</v>
      </c>
      <c r="H59" s="58">
        <f t="shared" si="17"/>
        <v>109.2</v>
      </c>
      <c r="I59" s="52">
        <f>COUNTIF(설정!$C$34:$C$39,"&lt;="&amp;MAX(1,C59-설정!$E$27))</f>
        <v>5</v>
      </c>
      <c r="J59" s="52">
        <f>MIN(I59,MAX(1,COUNTIF(설정!$B$15:$B$20,"&lt;="&amp;H59)))</f>
        <v>4</v>
      </c>
      <c r="K59" s="52">
        <f t="shared" si="18"/>
        <v>5</v>
      </c>
      <c r="L59" s="59">
        <f>INDEX(설정!$B$15:$B$20,J59)</f>
        <v>100</v>
      </c>
      <c r="M59" s="59">
        <f>INDEX(설정!$B$15:$B$20,K59)</f>
        <v>500</v>
      </c>
      <c r="N59" s="59">
        <f t="shared" si="19"/>
        <v>1</v>
      </c>
      <c r="O59" s="59">
        <f t="shared" si="20"/>
        <v>29</v>
      </c>
      <c r="P59" s="59">
        <f t="shared" si="21"/>
        <v>0</v>
      </c>
      <c r="Q59" s="59">
        <f t="shared" si="22"/>
        <v>1</v>
      </c>
      <c r="R59" s="59">
        <f t="shared" si="23"/>
        <v>29</v>
      </c>
      <c r="S59" s="59">
        <f t="shared" si="24"/>
        <v>0</v>
      </c>
      <c r="T59" s="59">
        <f t="shared" si="25"/>
        <v>0</v>
      </c>
      <c r="U59" s="59">
        <f t="shared" si="26"/>
        <v>0</v>
      </c>
      <c r="V59" s="78">
        <f t="shared" si="27"/>
        <v>30</v>
      </c>
      <c r="W59" s="59">
        <f t="shared" si="28"/>
        <v>3400</v>
      </c>
      <c r="X59" s="79">
        <f t="shared" si="29"/>
        <v>3.7851037851037939E-2</v>
      </c>
      <c r="Y59" s="56" t="str">
        <f>INDEX(설정!$A$15:$A$20,IF(N59*M59&gt;=O59*L59,K59,J59))</f>
        <v>루비</v>
      </c>
      <c r="Z59" s="39">
        <f>SUMIFS('드랍 구성'!$K$5:$K$102,'드랍 구성'!$A$5:$A$102,B59,'드랍 구성'!$B$5:$B$102,A59)</f>
        <v>12</v>
      </c>
      <c r="AA59" s="80">
        <f t="shared" si="30"/>
        <v>0</v>
      </c>
      <c r="AB59" s="59">
        <f t="shared" si="31"/>
        <v>47600</v>
      </c>
    </row>
    <row r="60" spans="1:28" x14ac:dyDescent="0.3">
      <c r="A60" s="37" t="s">
        <v>66</v>
      </c>
      <c r="B60" s="46" t="str">
        <f>'스테이지별 골드'!C32</f>
        <v>7-4</v>
      </c>
      <c r="C60" s="52">
        <f>MATCH(B60,'스테이지별 골드'!$C$5:$C$32,0)</f>
        <v>28</v>
      </c>
      <c r="D60" s="52">
        <f t="shared" si="16"/>
        <v>7</v>
      </c>
      <c r="E60" s="39">
        <f>'스테이지별 골드'!K32</f>
        <v>4056</v>
      </c>
      <c r="F60" s="39">
        <f>'스테이지별 골드'!E32</f>
        <v>15</v>
      </c>
      <c r="G60" s="59">
        <f>ROUND(설정!$B$27*(1+설정!$C$27)^(C60-1)*(1+설정!$D$27)^(D60-1),0)</f>
        <v>31</v>
      </c>
      <c r="H60" s="58">
        <f t="shared" si="17"/>
        <v>130.83870967741936</v>
      </c>
      <c r="I60" s="52">
        <f>COUNTIF(설정!$C$34:$C$39,"&lt;="&amp;MAX(1,C60-설정!$E$27))</f>
        <v>5</v>
      </c>
      <c r="J60" s="52">
        <f>MIN(I60,MAX(1,COUNTIF(설정!$B$15:$B$20,"&lt;="&amp;H60)))</f>
        <v>4</v>
      </c>
      <c r="K60" s="52">
        <f t="shared" si="18"/>
        <v>5</v>
      </c>
      <c r="L60" s="59">
        <f>INDEX(설정!$B$15:$B$20,J60)</f>
        <v>100</v>
      </c>
      <c r="M60" s="59">
        <f>INDEX(설정!$B$15:$B$20,K60)</f>
        <v>500</v>
      </c>
      <c r="N60" s="59">
        <f t="shared" si="19"/>
        <v>2</v>
      </c>
      <c r="O60" s="59">
        <f t="shared" si="20"/>
        <v>29</v>
      </c>
      <c r="P60" s="59">
        <f t="shared" si="21"/>
        <v>0</v>
      </c>
      <c r="Q60" s="59">
        <f t="shared" si="22"/>
        <v>2</v>
      </c>
      <c r="R60" s="59">
        <f t="shared" si="23"/>
        <v>29</v>
      </c>
      <c r="S60" s="59">
        <f t="shared" si="24"/>
        <v>0</v>
      </c>
      <c r="T60" s="59">
        <f t="shared" si="25"/>
        <v>0</v>
      </c>
      <c r="U60" s="59">
        <f t="shared" si="26"/>
        <v>0</v>
      </c>
      <c r="V60" s="78">
        <f t="shared" si="27"/>
        <v>31</v>
      </c>
      <c r="W60" s="59">
        <f t="shared" si="28"/>
        <v>3900</v>
      </c>
      <c r="X60" s="79">
        <f t="shared" si="29"/>
        <v>-3.8461538461538436E-2</v>
      </c>
      <c r="Y60" s="56" t="str">
        <f>INDEX(설정!$A$15:$A$20,IF(N60*M60&gt;=O60*L60,K60,J60))</f>
        <v>루비</v>
      </c>
      <c r="Z60" s="39">
        <f>SUMIFS('드랍 구성'!$K$5:$K$102,'드랍 구성'!$A$5:$A$102,B60,'드랍 구성'!$B$5:$B$102,A60)</f>
        <v>12</v>
      </c>
      <c r="AA60" s="80">
        <f t="shared" si="30"/>
        <v>1</v>
      </c>
      <c r="AB60" s="59">
        <f t="shared" si="31"/>
        <v>58500</v>
      </c>
    </row>
    <row r="61" spans="1:28" x14ac:dyDescent="0.3">
      <c r="A61" s="68" t="s">
        <v>67</v>
      </c>
      <c r="B61" s="69" t="str">
        <f>'스테이지별 골드'!C6</f>
        <v>1-2</v>
      </c>
      <c r="C61" s="70">
        <f>MATCH(B61,'스테이지별 골드'!$C$5:$C$32,0)</f>
        <v>2</v>
      </c>
      <c r="D61" s="70">
        <f t="shared" si="16"/>
        <v>1</v>
      </c>
      <c r="E61" s="71">
        <f>'스테이지별 골드'!L6</f>
        <v>94</v>
      </c>
      <c r="F61" s="71">
        <f>'스테이지별 골드'!F6</f>
        <v>1</v>
      </c>
      <c r="G61" s="72">
        <f>ROUND(설정!$B$28*(1+설정!$C$28)^(C61-1)*(1+설정!$D$28)^(D61-1),0)</f>
        <v>20</v>
      </c>
      <c r="H61" s="73">
        <f t="shared" si="17"/>
        <v>4.7</v>
      </c>
      <c r="I61" s="70">
        <f>COUNTIF(설정!$C$34:$C$39,"&lt;="&amp;MAX(1,C61-설정!$E$28))</f>
        <v>2</v>
      </c>
      <c r="J61" s="70">
        <f>MIN(I61,MAX(1,COUNTIF(설정!$B$15:$B$20,"&lt;="&amp;H61)))</f>
        <v>1</v>
      </c>
      <c r="K61" s="70">
        <f t="shared" si="18"/>
        <v>2</v>
      </c>
      <c r="L61" s="72">
        <f>INDEX(설정!$B$15:$B$20,J61)</f>
        <v>1</v>
      </c>
      <c r="M61" s="72">
        <f>INDEX(설정!$B$15:$B$20,K61)</f>
        <v>5</v>
      </c>
      <c r="N61" s="72">
        <f t="shared" si="19"/>
        <v>19</v>
      </c>
      <c r="O61" s="72">
        <f t="shared" si="20"/>
        <v>1</v>
      </c>
      <c r="P61" s="72">
        <f t="shared" si="21"/>
        <v>0</v>
      </c>
      <c r="Q61" s="72">
        <f t="shared" si="22"/>
        <v>0</v>
      </c>
      <c r="R61" s="72">
        <f t="shared" si="23"/>
        <v>0</v>
      </c>
      <c r="S61" s="72">
        <f t="shared" si="24"/>
        <v>0</v>
      </c>
      <c r="T61" s="72">
        <f t="shared" si="25"/>
        <v>19</v>
      </c>
      <c r="U61" s="72">
        <f t="shared" si="26"/>
        <v>1</v>
      </c>
      <c r="V61" s="74">
        <f t="shared" si="27"/>
        <v>20</v>
      </c>
      <c r="W61" s="72">
        <f t="shared" si="28"/>
        <v>96</v>
      </c>
      <c r="X61" s="75">
        <f t="shared" si="29"/>
        <v>2.1276595744680771E-2</v>
      </c>
      <c r="Y61" s="76" t="str">
        <f>INDEX(설정!$A$15:$A$20,IF(N61*M61&gt;=O61*L61,K61,J61))</f>
        <v>금괴</v>
      </c>
      <c r="Z61" s="71">
        <f>SUMIFS('드랍 구성'!$K$5:$K$102,'드랍 구성'!$A$5:$A$102,B61,'드랍 구성'!$B$5:$B$102,A61)</f>
        <v>22</v>
      </c>
      <c r="AA61" s="77" t="str">
        <f t="shared" si="30"/>
        <v>-</v>
      </c>
      <c r="AB61" s="72">
        <f t="shared" si="31"/>
        <v>96</v>
      </c>
    </row>
    <row r="62" spans="1:28" x14ac:dyDescent="0.3">
      <c r="A62" s="37" t="s">
        <v>67</v>
      </c>
      <c r="B62" s="46" t="str">
        <f>'스테이지별 골드'!C8</f>
        <v>1-4</v>
      </c>
      <c r="C62" s="52">
        <f>MATCH(B62,'스테이지별 골드'!$C$5:$C$32,0)</f>
        <v>4</v>
      </c>
      <c r="D62" s="52">
        <f t="shared" si="16"/>
        <v>1</v>
      </c>
      <c r="E62" s="39">
        <f>'스테이지별 골드'!L8</f>
        <v>143</v>
      </c>
      <c r="F62" s="39">
        <f>'스테이지별 골드'!F8</f>
        <v>1</v>
      </c>
      <c r="G62" s="59">
        <f>ROUND(설정!$B$28*(1+설정!$C$28)^(C62-1)*(1+설정!$D$28)^(D62-1),0)</f>
        <v>21</v>
      </c>
      <c r="H62" s="58">
        <f t="shared" si="17"/>
        <v>6.8095238095238093</v>
      </c>
      <c r="I62" s="52">
        <f>COUNTIF(설정!$C$34:$C$39,"&lt;="&amp;MAX(1,C62-설정!$E$28))</f>
        <v>3</v>
      </c>
      <c r="J62" s="52">
        <f>MIN(I62,MAX(1,COUNTIF(설정!$B$15:$B$20,"&lt;="&amp;H62)))</f>
        <v>2</v>
      </c>
      <c r="K62" s="52">
        <f t="shared" si="18"/>
        <v>3</v>
      </c>
      <c r="L62" s="59">
        <f>INDEX(설정!$B$15:$B$20,J62)</f>
        <v>5</v>
      </c>
      <c r="M62" s="59">
        <f>INDEX(설정!$B$15:$B$20,K62)</f>
        <v>25</v>
      </c>
      <c r="N62" s="59">
        <f t="shared" si="19"/>
        <v>2</v>
      </c>
      <c r="O62" s="59">
        <f t="shared" si="20"/>
        <v>19</v>
      </c>
      <c r="P62" s="59">
        <f t="shared" si="21"/>
        <v>0</v>
      </c>
      <c r="Q62" s="59">
        <f t="shared" si="22"/>
        <v>0</v>
      </c>
      <c r="R62" s="59">
        <f t="shared" si="23"/>
        <v>0</v>
      </c>
      <c r="S62" s="59">
        <f t="shared" si="24"/>
        <v>2</v>
      </c>
      <c r="T62" s="59">
        <f t="shared" si="25"/>
        <v>19</v>
      </c>
      <c r="U62" s="59">
        <f t="shared" si="26"/>
        <v>0</v>
      </c>
      <c r="V62" s="78">
        <f t="shared" si="27"/>
        <v>21</v>
      </c>
      <c r="W62" s="59">
        <f t="shared" si="28"/>
        <v>145</v>
      </c>
      <c r="X62" s="79">
        <f t="shared" si="29"/>
        <v>1.3986013986013957E-2</v>
      </c>
      <c r="Y62" s="56" t="str">
        <f>INDEX(설정!$A$15:$A$20,IF(N62*M62&gt;=O62*L62,K62,J62))</f>
        <v>금괴</v>
      </c>
      <c r="Z62" s="39">
        <f>SUMIFS('드랍 구성'!$K$5:$K$102,'드랍 구성'!$A$5:$A$102,B62,'드랍 구성'!$B$5:$B$102,A62)</f>
        <v>11</v>
      </c>
      <c r="AA62" s="80">
        <f t="shared" si="30"/>
        <v>1</v>
      </c>
      <c r="AB62" s="59">
        <f t="shared" si="31"/>
        <v>145</v>
      </c>
    </row>
    <row r="63" spans="1:28" x14ac:dyDescent="0.3">
      <c r="A63" s="37" t="s">
        <v>67</v>
      </c>
      <c r="B63" s="46" t="str">
        <f>'스테이지별 골드'!C10</f>
        <v>2-2</v>
      </c>
      <c r="C63" s="52">
        <f>MATCH(B63,'스테이지별 골드'!$C$5:$C$32,0)</f>
        <v>6</v>
      </c>
      <c r="D63" s="52">
        <f t="shared" si="16"/>
        <v>2</v>
      </c>
      <c r="E63" s="39">
        <f>'스테이지별 골드'!L10</f>
        <v>218</v>
      </c>
      <c r="F63" s="39">
        <f>'스테이지별 골드'!F10</f>
        <v>1</v>
      </c>
      <c r="G63" s="59">
        <f>ROUND(설정!$B$28*(1+설정!$C$28)^(C63-1)*(1+설정!$D$28)^(D63-1),0)</f>
        <v>22</v>
      </c>
      <c r="H63" s="58">
        <f t="shared" si="17"/>
        <v>9.9090909090909083</v>
      </c>
      <c r="I63" s="52">
        <f>COUNTIF(설정!$C$34:$C$39,"&lt;="&amp;MAX(1,C63-설정!$E$28))</f>
        <v>3</v>
      </c>
      <c r="J63" s="52">
        <f>MIN(I63,MAX(1,COUNTIF(설정!$B$15:$B$20,"&lt;="&amp;H63)))</f>
        <v>2</v>
      </c>
      <c r="K63" s="52">
        <f t="shared" si="18"/>
        <v>3</v>
      </c>
      <c r="L63" s="59">
        <f>INDEX(설정!$B$15:$B$20,J63)</f>
        <v>5</v>
      </c>
      <c r="M63" s="59">
        <f>INDEX(설정!$B$15:$B$20,K63)</f>
        <v>25</v>
      </c>
      <c r="N63" s="59">
        <f t="shared" si="19"/>
        <v>5</v>
      </c>
      <c r="O63" s="59">
        <f t="shared" si="20"/>
        <v>17</v>
      </c>
      <c r="P63" s="59">
        <f t="shared" si="21"/>
        <v>0</v>
      </c>
      <c r="Q63" s="59">
        <f t="shared" si="22"/>
        <v>0</v>
      </c>
      <c r="R63" s="59">
        <f t="shared" si="23"/>
        <v>0</v>
      </c>
      <c r="S63" s="59">
        <f t="shared" si="24"/>
        <v>5</v>
      </c>
      <c r="T63" s="59">
        <f t="shared" si="25"/>
        <v>17</v>
      </c>
      <c r="U63" s="59">
        <f t="shared" si="26"/>
        <v>0</v>
      </c>
      <c r="V63" s="78">
        <f t="shared" si="27"/>
        <v>22</v>
      </c>
      <c r="W63" s="59">
        <f t="shared" si="28"/>
        <v>210</v>
      </c>
      <c r="X63" s="79">
        <f t="shared" si="29"/>
        <v>-3.669724770642202E-2</v>
      </c>
      <c r="Y63" s="56" t="str">
        <f>INDEX(설정!$A$15:$A$20,IF(N63*M63&gt;=O63*L63,K63,J63))</f>
        <v>사파이어</v>
      </c>
      <c r="Z63" s="39">
        <f>SUMIFS('드랍 구성'!$K$5:$K$102,'드랍 구성'!$A$5:$A$102,B63,'드랍 구성'!$B$5:$B$102,A63)</f>
        <v>14</v>
      </c>
      <c r="AA63" s="80">
        <f t="shared" si="30"/>
        <v>1</v>
      </c>
      <c r="AB63" s="59">
        <f t="shared" si="31"/>
        <v>210</v>
      </c>
    </row>
    <row r="64" spans="1:28" x14ac:dyDescent="0.3">
      <c r="A64" s="37" t="s">
        <v>67</v>
      </c>
      <c r="B64" s="46" t="str">
        <f>'스테이지별 골드'!C12</f>
        <v>2-4</v>
      </c>
      <c r="C64" s="52">
        <f>MATCH(B64,'스테이지별 골드'!$C$5:$C$32,0)</f>
        <v>8</v>
      </c>
      <c r="D64" s="52">
        <f t="shared" si="16"/>
        <v>2</v>
      </c>
      <c r="E64" s="39">
        <f>'스테이지별 골드'!L12</f>
        <v>330</v>
      </c>
      <c r="F64" s="39">
        <f>'스테이지별 골드'!F12</f>
        <v>1</v>
      </c>
      <c r="G64" s="59">
        <f>ROUND(설정!$B$28*(1+설정!$C$28)^(C64-1)*(1+설정!$D$28)^(D64-1),0)</f>
        <v>23</v>
      </c>
      <c r="H64" s="58">
        <f t="shared" si="17"/>
        <v>14.347826086956522</v>
      </c>
      <c r="I64" s="52">
        <f>COUNTIF(설정!$C$34:$C$39,"&lt;="&amp;MAX(1,C64-설정!$E$28))</f>
        <v>3</v>
      </c>
      <c r="J64" s="52">
        <f>MIN(I64,MAX(1,COUNTIF(설정!$B$15:$B$20,"&lt;="&amp;H64)))</f>
        <v>2</v>
      </c>
      <c r="K64" s="52">
        <f t="shared" si="18"/>
        <v>3</v>
      </c>
      <c r="L64" s="59">
        <f>INDEX(설정!$B$15:$B$20,J64)</f>
        <v>5</v>
      </c>
      <c r="M64" s="59">
        <f>INDEX(설정!$B$15:$B$20,K64)</f>
        <v>25</v>
      </c>
      <c r="N64" s="59">
        <f t="shared" si="19"/>
        <v>11</v>
      </c>
      <c r="O64" s="59">
        <f t="shared" si="20"/>
        <v>12</v>
      </c>
      <c r="P64" s="59">
        <f t="shared" si="21"/>
        <v>0</v>
      </c>
      <c r="Q64" s="59">
        <f t="shared" si="22"/>
        <v>0</v>
      </c>
      <c r="R64" s="59">
        <f t="shared" si="23"/>
        <v>0</v>
      </c>
      <c r="S64" s="59">
        <f t="shared" si="24"/>
        <v>11</v>
      </c>
      <c r="T64" s="59">
        <f t="shared" si="25"/>
        <v>12</v>
      </c>
      <c r="U64" s="59">
        <f t="shared" si="26"/>
        <v>0</v>
      </c>
      <c r="V64" s="78">
        <f t="shared" si="27"/>
        <v>23</v>
      </c>
      <c r="W64" s="59">
        <f t="shared" si="28"/>
        <v>335</v>
      </c>
      <c r="X64" s="79">
        <f t="shared" si="29"/>
        <v>1.5151515151515138E-2</v>
      </c>
      <c r="Y64" s="56" t="str">
        <f>INDEX(설정!$A$15:$A$20,IF(N64*M64&gt;=O64*L64,K64,J64))</f>
        <v>사파이어</v>
      </c>
      <c r="Z64" s="39">
        <f>SUMIFS('드랍 구성'!$K$5:$K$102,'드랍 구성'!$A$5:$A$102,B64,'드랍 구성'!$B$5:$B$102,A64)</f>
        <v>14</v>
      </c>
      <c r="AA64" s="80">
        <f t="shared" si="30"/>
        <v>1</v>
      </c>
      <c r="AB64" s="59">
        <f t="shared" si="31"/>
        <v>335</v>
      </c>
    </row>
    <row r="65" spans="1:28" x14ac:dyDescent="0.3">
      <c r="A65" s="37" t="s">
        <v>67</v>
      </c>
      <c r="B65" s="46" t="str">
        <f>'스테이지별 골드'!C14</f>
        <v>3-2</v>
      </c>
      <c r="C65" s="52">
        <f>MATCH(B65,'스테이지별 골드'!$C$5:$C$32,0)</f>
        <v>10</v>
      </c>
      <c r="D65" s="52">
        <f t="shared" si="16"/>
        <v>3</v>
      </c>
      <c r="E65" s="39">
        <f>'스테이지별 골드'!L14</f>
        <v>495</v>
      </c>
      <c r="F65" s="39">
        <f>'스테이지별 골드'!F14</f>
        <v>1</v>
      </c>
      <c r="G65" s="59">
        <f>ROUND(설정!$B$28*(1+설정!$C$28)^(C65-1)*(1+설정!$D$28)^(D65-1),0)</f>
        <v>25</v>
      </c>
      <c r="H65" s="58">
        <f t="shared" si="17"/>
        <v>19.8</v>
      </c>
      <c r="I65" s="52">
        <f>COUNTIF(설정!$C$34:$C$39,"&lt;="&amp;MAX(1,C65-설정!$E$28))</f>
        <v>3</v>
      </c>
      <c r="J65" s="52">
        <f>MIN(I65,MAX(1,COUNTIF(설정!$B$15:$B$20,"&lt;="&amp;H65)))</f>
        <v>2</v>
      </c>
      <c r="K65" s="52">
        <f t="shared" si="18"/>
        <v>3</v>
      </c>
      <c r="L65" s="59">
        <f>INDEX(설정!$B$15:$B$20,J65)</f>
        <v>5</v>
      </c>
      <c r="M65" s="59">
        <f>INDEX(설정!$B$15:$B$20,K65)</f>
        <v>25</v>
      </c>
      <c r="N65" s="59">
        <f t="shared" si="19"/>
        <v>19</v>
      </c>
      <c r="O65" s="59">
        <f t="shared" si="20"/>
        <v>6</v>
      </c>
      <c r="P65" s="59">
        <f t="shared" si="21"/>
        <v>0</v>
      </c>
      <c r="Q65" s="59">
        <f t="shared" si="22"/>
        <v>0</v>
      </c>
      <c r="R65" s="59">
        <f t="shared" si="23"/>
        <v>0</v>
      </c>
      <c r="S65" s="59">
        <f t="shared" si="24"/>
        <v>19</v>
      </c>
      <c r="T65" s="59">
        <f t="shared" si="25"/>
        <v>6</v>
      </c>
      <c r="U65" s="59">
        <f t="shared" si="26"/>
        <v>0</v>
      </c>
      <c r="V65" s="78">
        <f t="shared" si="27"/>
        <v>25</v>
      </c>
      <c r="W65" s="59">
        <f t="shared" si="28"/>
        <v>505</v>
      </c>
      <c r="X65" s="79">
        <f t="shared" si="29"/>
        <v>2.020202020202011E-2</v>
      </c>
      <c r="Y65" s="56" t="str">
        <f>INDEX(설정!$A$15:$A$20,IF(N65*M65&gt;=O65*L65,K65,J65))</f>
        <v>사파이어</v>
      </c>
      <c r="Z65" s="39">
        <f>SUMIFS('드랍 구성'!$K$5:$K$102,'드랍 구성'!$A$5:$A$102,B65,'드랍 구성'!$B$5:$B$102,A65)</f>
        <v>23</v>
      </c>
      <c r="AA65" s="80">
        <f t="shared" si="30"/>
        <v>2</v>
      </c>
      <c r="AB65" s="59">
        <f t="shared" si="31"/>
        <v>505</v>
      </c>
    </row>
    <row r="66" spans="1:28" x14ac:dyDescent="0.3">
      <c r="A66" s="37" t="s">
        <v>67</v>
      </c>
      <c r="B66" s="46" t="str">
        <f>'스테이지별 골드'!C16</f>
        <v>3-4</v>
      </c>
      <c r="C66" s="52">
        <f>MATCH(B66,'스테이지별 골드'!$C$5:$C$32,0)</f>
        <v>12</v>
      </c>
      <c r="D66" s="52">
        <f t="shared" si="16"/>
        <v>3</v>
      </c>
      <c r="E66" s="39">
        <f>'스테이지별 골드'!L16</f>
        <v>750</v>
      </c>
      <c r="F66" s="39">
        <f>'스테이지별 골드'!F16</f>
        <v>1</v>
      </c>
      <c r="G66" s="59">
        <f>ROUND(설정!$B$28*(1+설정!$C$28)^(C66-1)*(1+설정!$D$28)^(D66-1),0)</f>
        <v>25</v>
      </c>
      <c r="H66" s="58">
        <f t="shared" si="17"/>
        <v>30</v>
      </c>
      <c r="I66" s="52">
        <f>COUNTIF(설정!$C$34:$C$39,"&lt;="&amp;MAX(1,C66-설정!$E$28))</f>
        <v>4</v>
      </c>
      <c r="J66" s="52">
        <f>MIN(I66,MAX(1,COUNTIF(설정!$B$15:$B$20,"&lt;="&amp;H66)))</f>
        <v>3</v>
      </c>
      <c r="K66" s="52">
        <f t="shared" si="18"/>
        <v>4</v>
      </c>
      <c r="L66" s="59">
        <f>INDEX(설정!$B$15:$B$20,J66)</f>
        <v>25</v>
      </c>
      <c r="M66" s="59">
        <f>INDEX(설정!$B$15:$B$20,K66)</f>
        <v>100</v>
      </c>
      <c r="N66" s="59">
        <f t="shared" si="19"/>
        <v>2</v>
      </c>
      <c r="O66" s="59">
        <f t="shared" si="20"/>
        <v>23</v>
      </c>
      <c r="P66" s="59">
        <f t="shared" si="21"/>
        <v>0</v>
      </c>
      <c r="Q66" s="59">
        <f t="shared" si="22"/>
        <v>0</v>
      </c>
      <c r="R66" s="59">
        <f t="shared" si="23"/>
        <v>2</v>
      </c>
      <c r="S66" s="59">
        <f t="shared" si="24"/>
        <v>23</v>
      </c>
      <c r="T66" s="59">
        <f t="shared" si="25"/>
        <v>0</v>
      </c>
      <c r="U66" s="59">
        <f t="shared" si="26"/>
        <v>0</v>
      </c>
      <c r="V66" s="78">
        <f t="shared" si="27"/>
        <v>25</v>
      </c>
      <c r="W66" s="59">
        <f t="shared" si="28"/>
        <v>775</v>
      </c>
      <c r="X66" s="79">
        <f t="shared" si="29"/>
        <v>3.3333333333333437E-2</v>
      </c>
      <c r="Y66" s="56" t="str">
        <f>INDEX(설정!$A$15:$A$20,IF(N66*M66&gt;=O66*L66,K66,J66))</f>
        <v>사파이어</v>
      </c>
      <c r="Z66" s="39">
        <f>SUMIFS('드랍 구성'!$K$5:$K$102,'드랍 구성'!$A$5:$A$102,B66,'드랍 구성'!$B$5:$B$102,A66)</f>
        <v>9</v>
      </c>
      <c r="AA66" s="80">
        <f t="shared" si="30"/>
        <v>0</v>
      </c>
      <c r="AB66" s="59">
        <f t="shared" si="31"/>
        <v>775</v>
      </c>
    </row>
    <row r="67" spans="1:28" x14ac:dyDescent="0.3">
      <c r="A67" s="37" t="s">
        <v>67</v>
      </c>
      <c r="B67" s="46" t="str">
        <f>'스테이지별 골드'!C18</f>
        <v>4-2</v>
      </c>
      <c r="C67" s="52">
        <f>MATCH(B67,'스테이지별 골드'!$C$5:$C$32,0)</f>
        <v>14</v>
      </c>
      <c r="D67" s="52">
        <f t="shared" si="16"/>
        <v>4</v>
      </c>
      <c r="E67" s="39">
        <f>'스테이지별 골드'!L18</f>
        <v>1125</v>
      </c>
      <c r="F67" s="39">
        <f>'스테이지별 골드'!F18</f>
        <v>1</v>
      </c>
      <c r="G67" s="59">
        <f>ROUND(설정!$B$28*(1+설정!$C$28)^(C67-1)*(1+설정!$D$28)^(D67-1),0)</f>
        <v>27</v>
      </c>
      <c r="H67" s="58">
        <f t="shared" si="17"/>
        <v>41.666666666666664</v>
      </c>
      <c r="I67" s="52">
        <f>COUNTIF(설정!$C$34:$C$39,"&lt;="&amp;MAX(1,C67-설정!$E$28))</f>
        <v>4</v>
      </c>
      <c r="J67" s="52">
        <f>MIN(I67,MAX(1,COUNTIF(설정!$B$15:$B$20,"&lt;="&amp;H67)))</f>
        <v>3</v>
      </c>
      <c r="K67" s="52">
        <f t="shared" si="18"/>
        <v>4</v>
      </c>
      <c r="L67" s="59">
        <f>INDEX(설정!$B$15:$B$20,J67)</f>
        <v>25</v>
      </c>
      <c r="M67" s="59">
        <f>INDEX(설정!$B$15:$B$20,K67)</f>
        <v>100</v>
      </c>
      <c r="N67" s="59">
        <f t="shared" si="19"/>
        <v>6</v>
      </c>
      <c r="O67" s="59">
        <f t="shared" si="20"/>
        <v>21</v>
      </c>
      <c r="P67" s="59">
        <f t="shared" si="21"/>
        <v>0</v>
      </c>
      <c r="Q67" s="59">
        <f t="shared" si="22"/>
        <v>0</v>
      </c>
      <c r="R67" s="59">
        <f t="shared" si="23"/>
        <v>6</v>
      </c>
      <c r="S67" s="59">
        <f t="shared" si="24"/>
        <v>21</v>
      </c>
      <c r="T67" s="59">
        <f t="shared" si="25"/>
        <v>0</v>
      </c>
      <c r="U67" s="59">
        <f t="shared" si="26"/>
        <v>0</v>
      </c>
      <c r="V67" s="78">
        <f t="shared" si="27"/>
        <v>27</v>
      </c>
      <c r="W67" s="59">
        <f t="shared" si="28"/>
        <v>1125</v>
      </c>
      <c r="X67" s="79">
        <f t="shared" si="29"/>
        <v>0</v>
      </c>
      <c r="Y67" s="56" t="str">
        <f>INDEX(설정!$A$15:$A$20,IF(N67*M67&gt;=O67*L67,K67,J67))</f>
        <v>루비</v>
      </c>
      <c r="Z67" s="39">
        <f>SUMIFS('드랍 구성'!$K$5:$K$102,'드랍 구성'!$A$5:$A$102,B67,'드랍 구성'!$B$5:$B$102,A67)</f>
        <v>12</v>
      </c>
      <c r="AA67" s="80">
        <f t="shared" si="30"/>
        <v>2</v>
      </c>
      <c r="AB67" s="59">
        <f t="shared" si="31"/>
        <v>1125</v>
      </c>
    </row>
    <row r="68" spans="1:28" x14ac:dyDescent="0.3">
      <c r="A68" s="37" t="s">
        <v>67</v>
      </c>
      <c r="B68" s="46" t="str">
        <f>'스테이지별 골드'!C20</f>
        <v>4-4</v>
      </c>
      <c r="C68" s="52">
        <f>MATCH(B68,'스테이지별 골드'!$C$5:$C$32,0)</f>
        <v>16</v>
      </c>
      <c r="D68" s="52">
        <f t="shared" si="16"/>
        <v>4</v>
      </c>
      <c r="E68" s="39">
        <f>'스테이지별 골드'!L20</f>
        <v>1688</v>
      </c>
      <c r="F68" s="39">
        <f>'스테이지별 골드'!F20</f>
        <v>1</v>
      </c>
      <c r="G68" s="59">
        <f>ROUND(설정!$B$28*(1+설정!$C$28)^(C68-1)*(1+설정!$D$28)^(D68-1),0)</f>
        <v>28</v>
      </c>
      <c r="H68" s="58">
        <f t="shared" si="17"/>
        <v>60.285714285714285</v>
      </c>
      <c r="I68" s="52">
        <f>COUNTIF(설정!$C$34:$C$39,"&lt;="&amp;MAX(1,C68-설정!$E$28))</f>
        <v>4</v>
      </c>
      <c r="J68" s="52">
        <f>MIN(I68,MAX(1,COUNTIF(설정!$B$15:$B$20,"&lt;="&amp;H68)))</f>
        <v>3</v>
      </c>
      <c r="K68" s="52">
        <f t="shared" si="18"/>
        <v>4</v>
      </c>
      <c r="L68" s="59">
        <f>INDEX(설정!$B$15:$B$20,J68)</f>
        <v>25</v>
      </c>
      <c r="M68" s="59">
        <f>INDEX(설정!$B$15:$B$20,K68)</f>
        <v>100</v>
      </c>
      <c r="N68" s="59">
        <f t="shared" si="19"/>
        <v>13</v>
      </c>
      <c r="O68" s="59">
        <f t="shared" si="20"/>
        <v>15</v>
      </c>
      <c r="P68" s="59">
        <f t="shared" si="21"/>
        <v>0</v>
      </c>
      <c r="Q68" s="59">
        <f t="shared" si="22"/>
        <v>0</v>
      </c>
      <c r="R68" s="59">
        <f t="shared" si="23"/>
        <v>13</v>
      </c>
      <c r="S68" s="59">
        <f t="shared" si="24"/>
        <v>15</v>
      </c>
      <c r="T68" s="59">
        <f t="shared" si="25"/>
        <v>0</v>
      </c>
      <c r="U68" s="59">
        <f t="shared" si="26"/>
        <v>0</v>
      </c>
      <c r="V68" s="78">
        <f t="shared" si="27"/>
        <v>28</v>
      </c>
      <c r="W68" s="59">
        <f t="shared" si="28"/>
        <v>1675</v>
      </c>
      <c r="X68" s="79">
        <f t="shared" si="29"/>
        <v>-7.7014218009479052E-3</v>
      </c>
      <c r="Y68" s="56" t="str">
        <f>INDEX(설정!$A$15:$A$20,IF(N68*M68&gt;=O68*L68,K68,J68))</f>
        <v>루비</v>
      </c>
      <c r="Z68" s="39">
        <f>SUMIFS('드랍 구성'!$K$5:$K$102,'드랍 구성'!$A$5:$A$102,B68,'드랍 구성'!$B$5:$B$102,A68)</f>
        <v>24</v>
      </c>
      <c r="AA68" s="80">
        <f t="shared" si="30"/>
        <v>1</v>
      </c>
      <c r="AB68" s="59">
        <f t="shared" si="31"/>
        <v>1675</v>
      </c>
    </row>
    <row r="69" spans="1:28" x14ac:dyDescent="0.3">
      <c r="A69" s="37" t="s">
        <v>67</v>
      </c>
      <c r="B69" s="46" t="str">
        <f>'스테이지별 골드'!C22</f>
        <v>5-2</v>
      </c>
      <c r="C69" s="52">
        <f>MATCH(B69,'스테이지별 골드'!$C$5:$C$32,0)</f>
        <v>18</v>
      </c>
      <c r="D69" s="52">
        <f t="shared" ref="D69:D100" si="32">INT((C69-1)/4)+1</f>
        <v>5</v>
      </c>
      <c r="E69" s="39">
        <f>'스테이지별 골드'!L22</f>
        <v>2550</v>
      </c>
      <c r="F69" s="39">
        <f>'스테이지별 골드'!F22</f>
        <v>1</v>
      </c>
      <c r="G69" s="59">
        <f>ROUND(설정!$B$28*(1+설정!$C$28)^(C69-1)*(1+설정!$D$28)^(D69-1),0)</f>
        <v>30</v>
      </c>
      <c r="H69" s="58">
        <f t="shared" ref="H69:H100" si="33">IF(G69=0,0,E69/G69)</f>
        <v>85</v>
      </c>
      <c r="I69" s="52">
        <f>COUNTIF(설정!$C$34:$C$39,"&lt;="&amp;MAX(1,C69-설정!$E$28))</f>
        <v>4</v>
      </c>
      <c r="J69" s="52">
        <f>MIN(I69,MAX(1,COUNTIF(설정!$B$15:$B$20,"&lt;="&amp;H69)))</f>
        <v>3</v>
      </c>
      <c r="K69" s="52">
        <f t="shared" ref="K69:K100" si="34">IF(J69&lt;I69,J69+1,J69)</f>
        <v>4</v>
      </c>
      <c r="L69" s="59">
        <f>INDEX(설정!$B$15:$B$20,J69)</f>
        <v>25</v>
      </c>
      <c r="M69" s="59">
        <f>INDEX(설정!$B$15:$B$20,K69)</f>
        <v>100</v>
      </c>
      <c r="N69" s="59">
        <f t="shared" ref="N69:N100" si="35">IF(K69=J69,0,MIN(G69,MAX(0,ROUND((E69-G69*L69)/(M69-L69),0))))</f>
        <v>24</v>
      </c>
      <c r="O69" s="59">
        <f t="shared" ref="O69:O100" si="36">IF(K69=J69,ROUND(E69/L69,0),G69-N69)</f>
        <v>6</v>
      </c>
      <c r="P69" s="59">
        <f t="shared" ref="P69:P102" si="37">IF($K69=6,$N69,0)+IF($J69=6,$O69,0)</f>
        <v>0</v>
      </c>
      <c r="Q69" s="59">
        <f t="shared" ref="Q69:Q102" si="38">IF($K69=5,$N69,0)+IF($J69=5,$O69,0)</f>
        <v>0</v>
      </c>
      <c r="R69" s="59">
        <f t="shared" ref="R69:R102" si="39">IF($K69=4,$N69,0)+IF($J69=4,$O69,0)</f>
        <v>24</v>
      </c>
      <c r="S69" s="59">
        <f t="shared" ref="S69:S102" si="40">IF($K69=3,$N69,0)+IF($J69=3,$O69,0)</f>
        <v>6</v>
      </c>
      <c r="T69" s="59">
        <f t="shared" ref="T69:T102" si="41">IF($K69=2,$N69,0)+IF($J69=2,$O69,0)</f>
        <v>0</v>
      </c>
      <c r="U69" s="59">
        <f t="shared" ref="U69:U102" si="42">IF($K69=1,$N69,0)+IF($J69=1,$O69,0)</f>
        <v>0</v>
      </c>
      <c r="V69" s="78">
        <f t="shared" ref="V69:V100" si="43">SUM(P69:U69)</f>
        <v>30</v>
      </c>
      <c r="W69" s="59">
        <f t="shared" ref="W69:W102" si="44">SUMPRODUCT(P69:U69,$P$3:$U$3)</f>
        <v>2550</v>
      </c>
      <c r="X69" s="79">
        <f t="shared" ref="X69:X100" si="45">IF(E69=0,0,W69/E69-1)</f>
        <v>0</v>
      </c>
      <c r="Y69" s="56" t="str">
        <f>INDEX(설정!$A$15:$A$20,IF(N69*M69&gt;=O69*L69,K69,J69))</f>
        <v>루비</v>
      </c>
      <c r="Z69" s="39">
        <f>SUMIFS('드랍 구성'!$K$5:$K$102,'드랍 구성'!$A$5:$A$102,B69,'드랍 구성'!$B$5:$B$102,A69)</f>
        <v>7</v>
      </c>
      <c r="AA69" s="80">
        <f t="shared" ref="AA69:AA102" si="46">IF(A68&lt;&gt;A69,"-",V69-V68)</f>
        <v>2</v>
      </c>
      <c r="AB69" s="59">
        <f t="shared" ref="AB69:AB102" si="47">W69*F69</f>
        <v>2550</v>
      </c>
    </row>
    <row r="70" spans="1:28" x14ac:dyDescent="0.3">
      <c r="A70" s="37" t="s">
        <v>67</v>
      </c>
      <c r="B70" s="46" t="str">
        <f>'스테이지별 골드'!C24</f>
        <v>5-4</v>
      </c>
      <c r="C70" s="52">
        <f>MATCH(B70,'스테이지별 골드'!$C$5:$C$32,0)</f>
        <v>20</v>
      </c>
      <c r="D70" s="52">
        <f t="shared" si="32"/>
        <v>5</v>
      </c>
      <c r="E70" s="39">
        <f>'스테이지별 골드'!L24</f>
        <v>3825</v>
      </c>
      <c r="F70" s="39">
        <f>'스테이지별 골드'!F24</f>
        <v>1</v>
      </c>
      <c r="G70" s="59">
        <f>ROUND(설정!$B$28*(1+설정!$C$28)^(C70-1)*(1+설정!$D$28)^(D70-1),0)</f>
        <v>30</v>
      </c>
      <c r="H70" s="58">
        <f t="shared" si="33"/>
        <v>127.5</v>
      </c>
      <c r="I70" s="52">
        <f>COUNTIF(설정!$C$34:$C$39,"&lt;="&amp;MAX(1,C70-설정!$E$28))</f>
        <v>5</v>
      </c>
      <c r="J70" s="52">
        <f>MIN(I70,MAX(1,COUNTIF(설정!$B$15:$B$20,"&lt;="&amp;H70)))</f>
        <v>4</v>
      </c>
      <c r="K70" s="52">
        <f t="shared" si="34"/>
        <v>5</v>
      </c>
      <c r="L70" s="59">
        <f>INDEX(설정!$B$15:$B$20,J70)</f>
        <v>100</v>
      </c>
      <c r="M70" s="59">
        <f>INDEX(설정!$B$15:$B$20,K70)</f>
        <v>500</v>
      </c>
      <c r="N70" s="59">
        <f t="shared" si="35"/>
        <v>2</v>
      </c>
      <c r="O70" s="59">
        <f t="shared" si="36"/>
        <v>28</v>
      </c>
      <c r="P70" s="59">
        <f t="shared" si="37"/>
        <v>0</v>
      </c>
      <c r="Q70" s="59">
        <f t="shared" si="38"/>
        <v>2</v>
      </c>
      <c r="R70" s="59">
        <f t="shared" si="39"/>
        <v>28</v>
      </c>
      <c r="S70" s="59">
        <f t="shared" si="40"/>
        <v>0</v>
      </c>
      <c r="T70" s="59">
        <f t="shared" si="41"/>
        <v>0</v>
      </c>
      <c r="U70" s="59">
        <f t="shared" si="42"/>
        <v>0</v>
      </c>
      <c r="V70" s="78">
        <f t="shared" si="43"/>
        <v>30</v>
      </c>
      <c r="W70" s="59">
        <f t="shared" si="44"/>
        <v>3800</v>
      </c>
      <c r="X70" s="79">
        <f t="shared" si="45"/>
        <v>-6.5359477124182774E-3</v>
      </c>
      <c r="Y70" s="56" t="str">
        <f>INDEX(설정!$A$15:$A$20,IF(N70*M70&gt;=O70*L70,K70,J70))</f>
        <v>루비</v>
      </c>
      <c r="Z70" s="39">
        <f>SUMIFS('드랍 구성'!$K$5:$K$102,'드랍 구성'!$A$5:$A$102,B70,'드랍 구성'!$B$5:$B$102,A70)</f>
        <v>11</v>
      </c>
      <c r="AA70" s="80">
        <f t="shared" si="46"/>
        <v>0</v>
      </c>
      <c r="AB70" s="59">
        <f t="shared" si="47"/>
        <v>3800</v>
      </c>
    </row>
    <row r="71" spans="1:28" x14ac:dyDescent="0.3">
      <c r="A71" s="37" t="s">
        <v>67</v>
      </c>
      <c r="B71" s="46" t="str">
        <f>'스테이지별 골드'!C26</f>
        <v>6-2</v>
      </c>
      <c r="C71" s="52">
        <f>MATCH(B71,'스테이지별 골드'!$C$5:$C$32,0)</f>
        <v>22</v>
      </c>
      <c r="D71" s="52">
        <f t="shared" si="32"/>
        <v>6</v>
      </c>
      <c r="E71" s="39">
        <f>'스테이지별 골드'!L26</f>
        <v>5775</v>
      </c>
      <c r="F71" s="39">
        <f>'스테이지별 골드'!F26</f>
        <v>1</v>
      </c>
      <c r="G71" s="59">
        <f>ROUND(설정!$B$28*(1+설정!$C$28)^(C71-1)*(1+설정!$D$28)^(D71-1),0)</f>
        <v>33</v>
      </c>
      <c r="H71" s="58">
        <f t="shared" si="33"/>
        <v>175</v>
      </c>
      <c r="I71" s="52">
        <f>COUNTIF(설정!$C$34:$C$39,"&lt;="&amp;MAX(1,C71-설정!$E$28))</f>
        <v>5</v>
      </c>
      <c r="J71" s="52">
        <f>MIN(I71,MAX(1,COUNTIF(설정!$B$15:$B$20,"&lt;="&amp;H71)))</f>
        <v>4</v>
      </c>
      <c r="K71" s="52">
        <f t="shared" si="34"/>
        <v>5</v>
      </c>
      <c r="L71" s="59">
        <f>INDEX(설정!$B$15:$B$20,J71)</f>
        <v>100</v>
      </c>
      <c r="M71" s="59">
        <f>INDEX(설정!$B$15:$B$20,K71)</f>
        <v>500</v>
      </c>
      <c r="N71" s="59">
        <f t="shared" si="35"/>
        <v>6</v>
      </c>
      <c r="O71" s="59">
        <f t="shared" si="36"/>
        <v>27</v>
      </c>
      <c r="P71" s="59">
        <f t="shared" si="37"/>
        <v>0</v>
      </c>
      <c r="Q71" s="59">
        <f t="shared" si="38"/>
        <v>6</v>
      </c>
      <c r="R71" s="59">
        <f t="shared" si="39"/>
        <v>27</v>
      </c>
      <c r="S71" s="59">
        <f t="shared" si="40"/>
        <v>0</v>
      </c>
      <c r="T71" s="59">
        <f t="shared" si="41"/>
        <v>0</v>
      </c>
      <c r="U71" s="59">
        <f t="shared" si="42"/>
        <v>0</v>
      </c>
      <c r="V71" s="78">
        <f t="shared" si="43"/>
        <v>33</v>
      </c>
      <c r="W71" s="59">
        <f t="shared" si="44"/>
        <v>5700</v>
      </c>
      <c r="X71" s="79">
        <f t="shared" si="45"/>
        <v>-1.2987012987012991E-2</v>
      </c>
      <c r="Y71" s="56" t="str">
        <f>INDEX(설정!$A$15:$A$20,IF(N71*M71&gt;=O71*L71,K71,J71))</f>
        <v>다이아몬드</v>
      </c>
      <c r="Z71" s="39">
        <f>SUMIFS('드랍 구성'!$K$5:$K$102,'드랍 구성'!$A$5:$A$102,B71,'드랍 구성'!$B$5:$B$102,A71)</f>
        <v>11</v>
      </c>
      <c r="AA71" s="80">
        <f t="shared" si="46"/>
        <v>3</v>
      </c>
      <c r="AB71" s="59">
        <f t="shared" si="47"/>
        <v>5700</v>
      </c>
    </row>
    <row r="72" spans="1:28" x14ac:dyDescent="0.3">
      <c r="A72" s="37" t="s">
        <v>67</v>
      </c>
      <c r="B72" s="46" t="str">
        <f>'스테이지별 골드'!C28</f>
        <v>6-4</v>
      </c>
      <c r="C72" s="52">
        <f>MATCH(B72,'스테이지별 골드'!$C$5:$C$32,0)</f>
        <v>24</v>
      </c>
      <c r="D72" s="52">
        <f t="shared" si="32"/>
        <v>6</v>
      </c>
      <c r="E72" s="39">
        <f>'스테이지별 골드'!L28</f>
        <v>8700</v>
      </c>
      <c r="F72" s="39">
        <f>'스테이지별 골드'!F28</f>
        <v>1</v>
      </c>
      <c r="G72" s="59">
        <f>ROUND(설정!$B$28*(1+설정!$C$28)^(C72-1)*(1+설정!$D$28)^(D72-1),0)</f>
        <v>34</v>
      </c>
      <c r="H72" s="58">
        <f t="shared" si="33"/>
        <v>255.88235294117646</v>
      </c>
      <c r="I72" s="52">
        <f>COUNTIF(설정!$C$34:$C$39,"&lt;="&amp;MAX(1,C72-설정!$E$28))</f>
        <v>5</v>
      </c>
      <c r="J72" s="52">
        <f>MIN(I72,MAX(1,COUNTIF(설정!$B$15:$B$20,"&lt;="&amp;H72)))</f>
        <v>4</v>
      </c>
      <c r="K72" s="52">
        <f t="shared" si="34"/>
        <v>5</v>
      </c>
      <c r="L72" s="59">
        <f>INDEX(설정!$B$15:$B$20,J72)</f>
        <v>100</v>
      </c>
      <c r="M72" s="59">
        <f>INDEX(설정!$B$15:$B$20,K72)</f>
        <v>500</v>
      </c>
      <c r="N72" s="59">
        <f t="shared" si="35"/>
        <v>13</v>
      </c>
      <c r="O72" s="59">
        <f t="shared" si="36"/>
        <v>21</v>
      </c>
      <c r="P72" s="59">
        <f t="shared" si="37"/>
        <v>0</v>
      </c>
      <c r="Q72" s="59">
        <f t="shared" si="38"/>
        <v>13</v>
      </c>
      <c r="R72" s="59">
        <f t="shared" si="39"/>
        <v>21</v>
      </c>
      <c r="S72" s="59">
        <f t="shared" si="40"/>
        <v>0</v>
      </c>
      <c r="T72" s="59">
        <f t="shared" si="41"/>
        <v>0</v>
      </c>
      <c r="U72" s="59">
        <f t="shared" si="42"/>
        <v>0</v>
      </c>
      <c r="V72" s="78">
        <f t="shared" si="43"/>
        <v>34</v>
      </c>
      <c r="W72" s="59">
        <f t="shared" si="44"/>
        <v>8600</v>
      </c>
      <c r="X72" s="79">
        <f t="shared" si="45"/>
        <v>-1.1494252873563204E-2</v>
      </c>
      <c r="Y72" s="56" t="str">
        <f>INDEX(설정!$A$15:$A$20,IF(N72*M72&gt;=O72*L72,K72,J72))</f>
        <v>다이아몬드</v>
      </c>
      <c r="Z72" s="39">
        <f>SUMIFS('드랍 구성'!$K$5:$K$102,'드랍 구성'!$A$5:$A$102,B72,'드랍 구성'!$B$5:$B$102,A72)</f>
        <v>11</v>
      </c>
      <c r="AA72" s="80">
        <f t="shared" si="46"/>
        <v>1</v>
      </c>
      <c r="AB72" s="59">
        <f t="shared" si="47"/>
        <v>8600</v>
      </c>
    </row>
    <row r="73" spans="1:28" x14ac:dyDescent="0.3">
      <c r="A73" s="37" t="s">
        <v>67</v>
      </c>
      <c r="B73" s="46" t="str">
        <f>'스테이지별 골드'!C30</f>
        <v>7-2</v>
      </c>
      <c r="C73" s="52">
        <f>MATCH(B73,'스테이지별 골드'!$C$5:$C$32,0)</f>
        <v>26</v>
      </c>
      <c r="D73" s="52">
        <f t="shared" si="32"/>
        <v>7</v>
      </c>
      <c r="E73" s="39">
        <f>'스테이지별 골드'!L30</f>
        <v>13125</v>
      </c>
      <c r="F73" s="39">
        <f>'스테이지별 골드'!F30</f>
        <v>1</v>
      </c>
      <c r="G73" s="59">
        <f>ROUND(설정!$B$28*(1+설정!$C$28)^(C73-1)*(1+설정!$D$28)^(D73-1),0)</f>
        <v>36</v>
      </c>
      <c r="H73" s="58">
        <f t="shared" si="33"/>
        <v>364.58333333333331</v>
      </c>
      <c r="I73" s="52">
        <f>COUNTIF(설정!$C$34:$C$39,"&lt;="&amp;MAX(1,C73-설정!$E$28))</f>
        <v>5</v>
      </c>
      <c r="J73" s="52">
        <f>MIN(I73,MAX(1,COUNTIF(설정!$B$15:$B$20,"&lt;="&amp;H73)))</f>
        <v>4</v>
      </c>
      <c r="K73" s="52">
        <f t="shared" si="34"/>
        <v>5</v>
      </c>
      <c r="L73" s="59">
        <f>INDEX(설정!$B$15:$B$20,J73)</f>
        <v>100</v>
      </c>
      <c r="M73" s="59">
        <f>INDEX(설정!$B$15:$B$20,K73)</f>
        <v>500</v>
      </c>
      <c r="N73" s="59">
        <f t="shared" si="35"/>
        <v>24</v>
      </c>
      <c r="O73" s="59">
        <f t="shared" si="36"/>
        <v>12</v>
      </c>
      <c r="P73" s="59">
        <f t="shared" si="37"/>
        <v>0</v>
      </c>
      <c r="Q73" s="59">
        <f t="shared" si="38"/>
        <v>24</v>
      </c>
      <c r="R73" s="59">
        <f t="shared" si="39"/>
        <v>12</v>
      </c>
      <c r="S73" s="59">
        <f t="shared" si="40"/>
        <v>0</v>
      </c>
      <c r="T73" s="59">
        <f t="shared" si="41"/>
        <v>0</v>
      </c>
      <c r="U73" s="59">
        <f t="shared" si="42"/>
        <v>0</v>
      </c>
      <c r="V73" s="78">
        <f t="shared" si="43"/>
        <v>36</v>
      </c>
      <c r="W73" s="59">
        <f t="shared" si="44"/>
        <v>13200</v>
      </c>
      <c r="X73" s="79">
        <f t="shared" si="45"/>
        <v>5.7142857142857828E-3</v>
      </c>
      <c r="Y73" s="56" t="str">
        <f>INDEX(설정!$A$15:$A$20,IF(N73*M73&gt;=O73*L73,K73,J73))</f>
        <v>다이아몬드</v>
      </c>
      <c r="Z73" s="39">
        <f>SUMIFS('드랍 구성'!$K$5:$K$102,'드랍 구성'!$A$5:$A$102,B73,'드랍 구성'!$B$5:$B$102,A73)</f>
        <v>15</v>
      </c>
      <c r="AA73" s="80">
        <f t="shared" si="46"/>
        <v>2</v>
      </c>
      <c r="AB73" s="59">
        <f t="shared" si="47"/>
        <v>13200</v>
      </c>
    </row>
    <row r="74" spans="1:28" x14ac:dyDescent="0.3">
      <c r="A74" s="37" t="s">
        <v>67</v>
      </c>
      <c r="B74" s="46" t="str">
        <f>'스테이지별 골드'!C32</f>
        <v>7-4</v>
      </c>
      <c r="C74" s="52">
        <f>MATCH(B74,'스테이지별 골드'!$C$5:$C$32,0)</f>
        <v>28</v>
      </c>
      <c r="D74" s="52">
        <f t="shared" si="32"/>
        <v>7</v>
      </c>
      <c r="E74" s="39">
        <f>'스테이지별 골드'!L32</f>
        <v>19500</v>
      </c>
      <c r="F74" s="39">
        <f>'스테이지별 골드'!F32</f>
        <v>1</v>
      </c>
      <c r="G74" s="59">
        <f>ROUND(설정!$B$28*(1+설정!$C$28)^(C74-1)*(1+설정!$D$28)^(D74-1),0)</f>
        <v>37</v>
      </c>
      <c r="H74" s="58">
        <f t="shared" si="33"/>
        <v>527.02702702702697</v>
      </c>
      <c r="I74" s="52">
        <f>COUNTIF(설정!$C$34:$C$39,"&lt;="&amp;MAX(1,C74-설정!$E$28))</f>
        <v>6</v>
      </c>
      <c r="J74" s="52">
        <f>MIN(I74,MAX(1,COUNTIF(설정!$B$15:$B$20,"&lt;="&amp;H74)))</f>
        <v>5</v>
      </c>
      <c r="K74" s="52">
        <f t="shared" si="34"/>
        <v>6</v>
      </c>
      <c r="L74" s="59">
        <f>INDEX(설정!$B$15:$B$20,J74)</f>
        <v>500</v>
      </c>
      <c r="M74" s="59">
        <f>INDEX(설정!$B$15:$B$20,K74)</f>
        <v>1000</v>
      </c>
      <c r="N74" s="59">
        <f t="shared" si="35"/>
        <v>2</v>
      </c>
      <c r="O74" s="59">
        <f t="shared" si="36"/>
        <v>35</v>
      </c>
      <c r="P74" s="59">
        <f t="shared" si="37"/>
        <v>2</v>
      </c>
      <c r="Q74" s="59">
        <f t="shared" si="38"/>
        <v>35</v>
      </c>
      <c r="R74" s="59">
        <f t="shared" si="39"/>
        <v>0</v>
      </c>
      <c r="S74" s="59">
        <f t="shared" si="40"/>
        <v>0</v>
      </c>
      <c r="T74" s="59">
        <f t="shared" si="41"/>
        <v>0</v>
      </c>
      <c r="U74" s="59">
        <f t="shared" si="42"/>
        <v>0</v>
      </c>
      <c r="V74" s="78">
        <f t="shared" si="43"/>
        <v>37</v>
      </c>
      <c r="W74" s="59">
        <f t="shared" si="44"/>
        <v>19500</v>
      </c>
      <c r="X74" s="79">
        <f t="shared" si="45"/>
        <v>0</v>
      </c>
      <c r="Y74" s="56" t="str">
        <f>INDEX(설정!$A$15:$A$20,IF(N74*M74&gt;=O74*L74,K74,J74))</f>
        <v>다이아몬드</v>
      </c>
      <c r="Z74" s="39">
        <f>SUMIFS('드랍 구성'!$K$5:$K$102,'드랍 구성'!$A$5:$A$102,B74,'드랍 구성'!$B$5:$B$102,A74)</f>
        <v>20</v>
      </c>
      <c r="AA74" s="80">
        <f t="shared" si="46"/>
        <v>1</v>
      </c>
      <c r="AB74" s="59">
        <f t="shared" si="47"/>
        <v>19500</v>
      </c>
    </row>
    <row r="75" spans="1:28" x14ac:dyDescent="0.3">
      <c r="A75" s="68" t="s">
        <v>68</v>
      </c>
      <c r="B75" s="69" t="str">
        <f>'스테이지별 골드'!C5</f>
        <v>1-1</v>
      </c>
      <c r="C75" s="70">
        <f>MATCH(B75,'스테이지별 골드'!$C$5:$C$32,0)</f>
        <v>1</v>
      </c>
      <c r="D75" s="70">
        <f t="shared" si="32"/>
        <v>1</v>
      </c>
      <c r="E75" s="71">
        <f>'스테이지별 골드'!P5</f>
        <v>45</v>
      </c>
      <c r="F75" s="71">
        <f>'스테이지별 골드'!N5</f>
        <v>10</v>
      </c>
      <c r="G75" s="72">
        <f>ROUND(설정!$B$29*(1+설정!$C$29)^(C75-1)*(1+설정!$D$29)^(D75-1),0)</f>
        <v>18</v>
      </c>
      <c r="H75" s="73">
        <f t="shared" si="33"/>
        <v>2.5</v>
      </c>
      <c r="I75" s="70">
        <f>COUNTIF(설정!$C$34:$C$39,"&lt;="&amp;MAX(1,C75-설정!$E$29))</f>
        <v>2</v>
      </c>
      <c r="J75" s="70">
        <f>MIN(I75,MAX(1,COUNTIF(설정!$B$15:$B$20,"&lt;="&amp;H75)))</f>
        <v>1</v>
      </c>
      <c r="K75" s="70">
        <f t="shared" si="34"/>
        <v>2</v>
      </c>
      <c r="L75" s="72">
        <f>INDEX(설정!$B$15:$B$20,J75)</f>
        <v>1</v>
      </c>
      <c r="M75" s="72">
        <f>INDEX(설정!$B$15:$B$20,K75)</f>
        <v>5</v>
      </c>
      <c r="N75" s="72">
        <f t="shared" si="35"/>
        <v>7</v>
      </c>
      <c r="O75" s="72">
        <f t="shared" si="36"/>
        <v>11</v>
      </c>
      <c r="P75" s="72">
        <f t="shared" si="37"/>
        <v>0</v>
      </c>
      <c r="Q75" s="72">
        <f t="shared" si="38"/>
        <v>0</v>
      </c>
      <c r="R75" s="72">
        <f t="shared" si="39"/>
        <v>0</v>
      </c>
      <c r="S75" s="72">
        <f t="shared" si="40"/>
        <v>0</v>
      </c>
      <c r="T75" s="72">
        <f t="shared" si="41"/>
        <v>7</v>
      </c>
      <c r="U75" s="72">
        <f t="shared" si="42"/>
        <v>11</v>
      </c>
      <c r="V75" s="74">
        <f t="shared" si="43"/>
        <v>18</v>
      </c>
      <c r="W75" s="72">
        <f t="shared" si="44"/>
        <v>46</v>
      </c>
      <c r="X75" s="75">
        <f t="shared" si="45"/>
        <v>2.2222222222222143E-2</v>
      </c>
      <c r="Y75" s="76" t="str">
        <f>INDEX(설정!$A$15:$A$20,IF(N75*M75&gt;=O75*L75,K75,J75))</f>
        <v>금괴</v>
      </c>
      <c r="Z75" s="71">
        <f>SUMIFS('드랍 구성'!$K$5:$K$102,'드랍 구성'!$A$5:$A$102,B75,'드랍 구성'!$B$5:$B$102,A75)</f>
        <v>9</v>
      </c>
      <c r="AA75" s="77" t="str">
        <f t="shared" si="46"/>
        <v>-</v>
      </c>
      <c r="AB75" s="72">
        <f t="shared" si="47"/>
        <v>460</v>
      </c>
    </row>
    <row r="76" spans="1:28" x14ac:dyDescent="0.3">
      <c r="A76" s="37" t="s">
        <v>68</v>
      </c>
      <c r="B76" s="46" t="str">
        <f>'스테이지별 골드'!C6</f>
        <v>1-2</v>
      </c>
      <c r="C76" s="52">
        <f>MATCH(B76,'스테이지별 골드'!$C$5:$C$32,0)</f>
        <v>2</v>
      </c>
      <c r="D76" s="52">
        <f t="shared" si="32"/>
        <v>1</v>
      </c>
      <c r="E76" s="39">
        <f>'스테이지별 골드'!P6</f>
        <v>56</v>
      </c>
      <c r="F76" s="39">
        <f>'스테이지별 골드'!N6</f>
        <v>10</v>
      </c>
      <c r="G76" s="59">
        <f>ROUND(설정!$B$29*(1+설정!$C$29)^(C76-1)*(1+설정!$D$29)^(D76-1),0)</f>
        <v>18</v>
      </c>
      <c r="H76" s="58">
        <f t="shared" si="33"/>
        <v>3.1111111111111112</v>
      </c>
      <c r="I76" s="52">
        <f>COUNTIF(설정!$C$34:$C$39,"&lt;="&amp;MAX(1,C76-설정!$E$29))</f>
        <v>2</v>
      </c>
      <c r="J76" s="52">
        <f>MIN(I76,MAX(1,COUNTIF(설정!$B$15:$B$20,"&lt;="&amp;H76)))</f>
        <v>1</v>
      </c>
      <c r="K76" s="52">
        <f t="shared" si="34"/>
        <v>2</v>
      </c>
      <c r="L76" s="59">
        <f>INDEX(설정!$B$15:$B$20,J76)</f>
        <v>1</v>
      </c>
      <c r="M76" s="59">
        <f>INDEX(설정!$B$15:$B$20,K76)</f>
        <v>5</v>
      </c>
      <c r="N76" s="59">
        <f t="shared" si="35"/>
        <v>10</v>
      </c>
      <c r="O76" s="59">
        <f t="shared" si="36"/>
        <v>8</v>
      </c>
      <c r="P76" s="59">
        <f t="shared" si="37"/>
        <v>0</v>
      </c>
      <c r="Q76" s="59">
        <f t="shared" si="38"/>
        <v>0</v>
      </c>
      <c r="R76" s="59">
        <f t="shared" si="39"/>
        <v>0</v>
      </c>
      <c r="S76" s="59">
        <f t="shared" si="40"/>
        <v>0</v>
      </c>
      <c r="T76" s="59">
        <f t="shared" si="41"/>
        <v>10</v>
      </c>
      <c r="U76" s="59">
        <f t="shared" si="42"/>
        <v>8</v>
      </c>
      <c r="V76" s="78">
        <f t="shared" si="43"/>
        <v>18</v>
      </c>
      <c r="W76" s="59">
        <f t="shared" si="44"/>
        <v>58</v>
      </c>
      <c r="X76" s="79">
        <f t="shared" si="45"/>
        <v>3.5714285714285809E-2</v>
      </c>
      <c r="Y76" s="56" t="str">
        <f>INDEX(설정!$A$15:$A$20,IF(N76*M76&gt;=O76*L76,K76,J76))</f>
        <v>금괴</v>
      </c>
      <c r="Z76" s="39">
        <f>SUMIFS('드랍 구성'!$K$5:$K$102,'드랍 구성'!$A$5:$A$102,B76,'드랍 구성'!$B$5:$B$102,A76)</f>
        <v>12</v>
      </c>
      <c r="AA76" s="80">
        <f t="shared" si="46"/>
        <v>0</v>
      </c>
      <c r="AB76" s="59">
        <f t="shared" si="47"/>
        <v>580</v>
      </c>
    </row>
    <row r="77" spans="1:28" x14ac:dyDescent="0.3">
      <c r="A77" s="37" t="s">
        <v>68</v>
      </c>
      <c r="B77" s="46" t="str">
        <f>'스테이지별 골드'!C7</f>
        <v>1-3</v>
      </c>
      <c r="C77" s="52">
        <f>MATCH(B77,'스테이지별 골드'!$C$5:$C$32,0)</f>
        <v>3</v>
      </c>
      <c r="D77" s="52">
        <f t="shared" si="32"/>
        <v>1</v>
      </c>
      <c r="E77" s="39">
        <f>'스테이지별 골드'!P7</f>
        <v>68</v>
      </c>
      <c r="F77" s="39">
        <f>'스테이지별 골드'!N7</f>
        <v>11</v>
      </c>
      <c r="G77" s="59">
        <f>ROUND(설정!$B$29*(1+설정!$C$29)^(C77-1)*(1+설정!$D$29)^(D77-1),0)</f>
        <v>19</v>
      </c>
      <c r="H77" s="58">
        <f t="shared" si="33"/>
        <v>3.5789473684210527</v>
      </c>
      <c r="I77" s="52">
        <f>COUNTIF(설정!$C$34:$C$39,"&lt;="&amp;MAX(1,C77-설정!$E$29))</f>
        <v>2</v>
      </c>
      <c r="J77" s="52">
        <f>MIN(I77,MAX(1,COUNTIF(설정!$B$15:$B$20,"&lt;="&amp;H77)))</f>
        <v>1</v>
      </c>
      <c r="K77" s="52">
        <f t="shared" si="34"/>
        <v>2</v>
      </c>
      <c r="L77" s="59">
        <f>INDEX(설정!$B$15:$B$20,J77)</f>
        <v>1</v>
      </c>
      <c r="M77" s="59">
        <f>INDEX(설정!$B$15:$B$20,K77)</f>
        <v>5</v>
      </c>
      <c r="N77" s="59">
        <f t="shared" si="35"/>
        <v>12</v>
      </c>
      <c r="O77" s="59">
        <f t="shared" si="36"/>
        <v>7</v>
      </c>
      <c r="P77" s="59">
        <f t="shared" si="37"/>
        <v>0</v>
      </c>
      <c r="Q77" s="59">
        <f t="shared" si="38"/>
        <v>0</v>
      </c>
      <c r="R77" s="59">
        <f t="shared" si="39"/>
        <v>0</v>
      </c>
      <c r="S77" s="59">
        <f t="shared" si="40"/>
        <v>0</v>
      </c>
      <c r="T77" s="59">
        <f t="shared" si="41"/>
        <v>12</v>
      </c>
      <c r="U77" s="59">
        <f t="shared" si="42"/>
        <v>7</v>
      </c>
      <c r="V77" s="78">
        <f t="shared" si="43"/>
        <v>19</v>
      </c>
      <c r="W77" s="59">
        <f t="shared" si="44"/>
        <v>67</v>
      </c>
      <c r="X77" s="79">
        <f t="shared" si="45"/>
        <v>-1.4705882352941124E-2</v>
      </c>
      <c r="Y77" s="56" t="str">
        <f>INDEX(설정!$A$15:$A$20,IF(N77*M77&gt;=O77*L77,K77,J77))</f>
        <v>금괴</v>
      </c>
      <c r="Z77" s="39">
        <f>SUMIFS('드랍 구성'!$K$5:$K$102,'드랍 구성'!$A$5:$A$102,B77,'드랍 구성'!$B$5:$B$102,A77)</f>
        <v>16</v>
      </c>
      <c r="AA77" s="80">
        <f t="shared" si="46"/>
        <v>1</v>
      </c>
      <c r="AB77" s="59">
        <f t="shared" si="47"/>
        <v>737</v>
      </c>
    </row>
    <row r="78" spans="1:28" x14ac:dyDescent="0.3">
      <c r="A78" s="37" t="s">
        <v>68</v>
      </c>
      <c r="B78" s="46" t="str">
        <f>'스테이지별 골드'!C8</f>
        <v>1-4</v>
      </c>
      <c r="C78" s="52">
        <f>MATCH(B78,'스테이지별 골드'!$C$5:$C$32,0)</f>
        <v>4</v>
      </c>
      <c r="D78" s="52">
        <f t="shared" si="32"/>
        <v>1</v>
      </c>
      <c r="E78" s="39">
        <f>'스테이지별 골드'!P8</f>
        <v>86</v>
      </c>
      <c r="F78" s="39">
        <f>'스테이지별 골드'!N8</f>
        <v>11</v>
      </c>
      <c r="G78" s="59">
        <f>ROUND(설정!$B$29*(1+설정!$C$29)^(C78-1)*(1+설정!$D$29)^(D78-1),0)</f>
        <v>19</v>
      </c>
      <c r="H78" s="58">
        <f t="shared" si="33"/>
        <v>4.5263157894736841</v>
      </c>
      <c r="I78" s="52">
        <f>COUNTIF(설정!$C$34:$C$39,"&lt;="&amp;MAX(1,C78-설정!$E$29))</f>
        <v>3</v>
      </c>
      <c r="J78" s="52">
        <f>MIN(I78,MAX(1,COUNTIF(설정!$B$15:$B$20,"&lt;="&amp;H78)))</f>
        <v>1</v>
      </c>
      <c r="K78" s="52">
        <f t="shared" si="34"/>
        <v>2</v>
      </c>
      <c r="L78" s="59">
        <f>INDEX(설정!$B$15:$B$20,J78)</f>
        <v>1</v>
      </c>
      <c r="M78" s="59">
        <f>INDEX(설정!$B$15:$B$20,K78)</f>
        <v>5</v>
      </c>
      <c r="N78" s="59">
        <f t="shared" si="35"/>
        <v>17</v>
      </c>
      <c r="O78" s="59">
        <f t="shared" si="36"/>
        <v>2</v>
      </c>
      <c r="P78" s="59">
        <f t="shared" si="37"/>
        <v>0</v>
      </c>
      <c r="Q78" s="59">
        <f t="shared" si="38"/>
        <v>0</v>
      </c>
      <c r="R78" s="59">
        <f t="shared" si="39"/>
        <v>0</v>
      </c>
      <c r="S78" s="59">
        <f t="shared" si="40"/>
        <v>0</v>
      </c>
      <c r="T78" s="59">
        <f t="shared" si="41"/>
        <v>17</v>
      </c>
      <c r="U78" s="59">
        <f t="shared" si="42"/>
        <v>2</v>
      </c>
      <c r="V78" s="78">
        <f t="shared" si="43"/>
        <v>19</v>
      </c>
      <c r="W78" s="59">
        <f t="shared" si="44"/>
        <v>87</v>
      </c>
      <c r="X78" s="79">
        <f t="shared" si="45"/>
        <v>1.1627906976744207E-2</v>
      </c>
      <c r="Y78" s="56" t="str">
        <f>INDEX(설정!$A$15:$A$20,IF(N78*M78&gt;=O78*L78,K78,J78))</f>
        <v>금괴</v>
      </c>
      <c r="Z78" s="39">
        <f>SUMIFS('드랍 구성'!$K$5:$K$102,'드랍 구성'!$A$5:$A$102,B78,'드랍 구성'!$B$5:$B$102,A78)</f>
        <v>18</v>
      </c>
      <c r="AA78" s="80">
        <f t="shared" si="46"/>
        <v>0</v>
      </c>
      <c r="AB78" s="59">
        <f t="shared" si="47"/>
        <v>957</v>
      </c>
    </row>
    <row r="79" spans="1:28" x14ac:dyDescent="0.3">
      <c r="A79" s="37" t="s">
        <v>68</v>
      </c>
      <c r="B79" s="46" t="str">
        <f>'스테이지별 골드'!C9</f>
        <v>2-1</v>
      </c>
      <c r="C79" s="52">
        <f>MATCH(B79,'스테이지별 골드'!$C$5:$C$32,0)</f>
        <v>5</v>
      </c>
      <c r="D79" s="52">
        <f t="shared" si="32"/>
        <v>2</v>
      </c>
      <c r="E79" s="39">
        <f>'스테이지별 골드'!P9</f>
        <v>104</v>
      </c>
      <c r="F79" s="39">
        <f>'스테이지별 골드'!N9</f>
        <v>12</v>
      </c>
      <c r="G79" s="59">
        <f>ROUND(설정!$B$29*(1+설정!$C$29)^(C79-1)*(1+설정!$D$29)^(D79-1),0)</f>
        <v>21</v>
      </c>
      <c r="H79" s="58">
        <f t="shared" si="33"/>
        <v>4.9523809523809526</v>
      </c>
      <c r="I79" s="52">
        <f>COUNTIF(설정!$C$34:$C$39,"&lt;="&amp;MAX(1,C79-설정!$E$29))</f>
        <v>3</v>
      </c>
      <c r="J79" s="52">
        <f>MIN(I79,MAX(1,COUNTIF(설정!$B$15:$B$20,"&lt;="&amp;H79)))</f>
        <v>1</v>
      </c>
      <c r="K79" s="52">
        <f t="shared" si="34"/>
        <v>2</v>
      </c>
      <c r="L79" s="59">
        <f>INDEX(설정!$B$15:$B$20,J79)</f>
        <v>1</v>
      </c>
      <c r="M79" s="59">
        <f>INDEX(설정!$B$15:$B$20,K79)</f>
        <v>5</v>
      </c>
      <c r="N79" s="59">
        <f t="shared" si="35"/>
        <v>21</v>
      </c>
      <c r="O79" s="59">
        <f t="shared" si="36"/>
        <v>0</v>
      </c>
      <c r="P79" s="59">
        <f t="shared" si="37"/>
        <v>0</v>
      </c>
      <c r="Q79" s="59">
        <f t="shared" si="38"/>
        <v>0</v>
      </c>
      <c r="R79" s="59">
        <f t="shared" si="39"/>
        <v>0</v>
      </c>
      <c r="S79" s="59">
        <f t="shared" si="40"/>
        <v>0</v>
      </c>
      <c r="T79" s="59">
        <f t="shared" si="41"/>
        <v>21</v>
      </c>
      <c r="U79" s="59">
        <f t="shared" si="42"/>
        <v>0</v>
      </c>
      <c r="V79" s="78">
        <f t="shared" si="43"/>
        <v>21</v>
      </c>
      <c r="W79" s="59">
        <f t="shared" si="44"/>
        <v>105</v>
      </c>
      <c r="X79" s="79">
        <f t="shared" si="45"/>
        <v>9.6153846153845812E-3</v>
      </c>
      <c r="Y79" s="56" t="str">
        <f>INDEX(설정!$A$15:$A$20,IF(N79*M79&gt;=O79*L79,K79,J79))</f>
        <v>금괴</v>
      </c>
      <c r="Z79" s="39">
        <f>SUMIFS('드랍 구성'!$K$5:$K$102,'드랍 구성'!$A$5:$A$102,B79,'드랍 구성'!$B$5:$B$102,A79)</f>
        <v>24</v>
      </c>
      <c r="AA79" s="80">
        <f t="shared" si="46"/>
        <v>2</v>
      </c>
      <c r="AB79" s="59">
        <f t="shared" si="47"/>
        <v>1260</v>
      </c>
    </row>
    <row r="80" spans="1:28" x14ac:dyDescent="0.3">
      <c r="A80" s="37" t="s">
        <v>68</v>
      </c>
      <c r="B80" s="46" t="str">
        <f>'스테이지별 골드'!C10</f>
        <v>2-2</v>
      </c>
      <c r="C80" s="52">
        <f>MATCH(B80,'스테이지별 골드'!$C$5:$C$32,0)</f>
        <v>6</v>
      </c>
      <c r="D80" s="52">
        <f t="shared" si="32"/>
        <v>2</v>
      </c>
      <c r="E80" s="39">
        <f>'스테이지별 골드'!P10</f>
        <v>131</v>
      </c>
      <c r="F80" s="39">
        <f>'스테이지별 골드'!N10</f>
        <v>12</v>
      </c>
      <c r="G80" s="59">
        <f>ROUND(설정!$B$29*(1+설정!$C$29)^(C80-1)*(1+설정!$D$29)^(D80-1),0)</f>
        <v>21</v>
      </c>
      <c r="H80" s="58">
        <f t="shared" si="33"/>
        <v>6.2380952380952381</v>
      </c>
      <c r="I80" s="52">
        <f>COUNTIF(설정!$C$34:$C$39,"&lt;="&amp;MAX(1,C80-설정!$E$29))</f>
        <v>3</v>
      </c>
      <c r="J80" s="52">
        <f>MIN(I80,MAX(1,COUNTIF(설정!$B$15:$B$20,"&lt;="&amp;H80)))</f>
        <v>2</v>
      </c>
      <c r="K80" s="52">
        <f t="shared" si="34"/>
        <v>3</v>
      </c>
      <c r="L80" s="59">
        <f>INDEX(설정!$B$15:$B$20,J80)</f>
        <v>5</v>
      </c>
      <c r="M80" s="59">
        <f>INDEX(설정!$B$15:$B$20,K80)</f>
        <v>25</v>
      </c>
      <c r="N80" s="59">
        <f t="shared" si="35"/>
        <v>1</v>
      </c>
      <c r="O80" s="59">
        <f t="shared" si="36"/>
        <v>20</v>
      </c>
      <c r="P80" s="59">
        <f t="shared" si="37"/>
        <v>0</v>
      </c>
      <c r="Q80" s="59">
        <f t="shared" si="38"/>
        <v>0</v>
      </c>
      <c r="R80" s="59">
        <f t="shared" si="39"/>
        <v>0</v>
      </c>
      <c r="S80" s="59">
        <f t="shared" si="40"/>
        <v>1</v>
      </c>
      <c r="T80" s="59">
        <f t="shared" si="41"/>
        <v>20</v>
      </c>
      <c r="U80" s="59">
        <f t="shared" si="42"/>
        <v>0</v>
      </c>
      <c r="V80" s="78">
        <f t="shared" si="43"/>
        <v>21</v>
      </c>
      <c r="W80" s="59">
        <f t="shared" si="44"/>
        <v>125</v>
      </c>
      <c r="X80" s="79">
        <f t="shared" si="45"/>
        <v>-4.5801526717557217E-2</v>
      </c>
      <c r="Y80" s="56" t="str">
        <f>INDEX(설정!$A$15:$A$20,IF(N80*M80&gt;=O80*L80,K80,J80))</f>
        <v>금괴</v>
      </c>
      <c r="Z80" s="39">
        <f>SUMIFS('드랍 구성'!$K$5:$K$102,'드랍 구성'!$A$5:$A$102,B80,'드랍 구성'!$B$5:$B$102,A80)</f>
        <v>7</v>
      </c>
      <c r="AA80" s="80">
        <f t="shared" si="46"/>
        <v>0</v>
      </c>
      <c r="AB80" s="59">
        <f t="shared" si="47"/>
        <v>1500</v>
      </c>
    </row>
    <row r="81" spans="1:28" x14ac:dyDescent="0.3">
      <c r="A81" s="37" t="s">
        <v>68</v>
      </c>
      <c r="B81" s="46" t="str">
        <f>'스테이지별 골드'!C11</f>
        <v>2-3</v>
      </c>
      <c r="C81" s="52">
        <f>MATCH(B81,'스테이지별 골드'!$C$5:$C$32,0)</f>
        <v>7</v>
      </c>
      <c r="D81" s="52">
        <f t="shared" si="32"/>
        <v>2</v>
      </c>
      <c r="E81" s="39">
        <f>'스테이지별 골드'!P11</f>
        <v>158</v>
      </c>
      <c r="F81" s="39">
        <f>'스테이지별 골드'!N11</f>
        <v>13</v>
      </c>
      <c r="G81" s="59">
        <f>ROUND(설정!$B$29*(1+설정!$C$29)^(C81-1)*(1+설정!$D$29)^(D81-1),0)</f>
        <v>21</v>
      </c>
      <c r="H81" s="58">
        <f t="shared" si="33"/>
        <v>7.5238095238095237</v>
      </c>
      <c r="I81" s="52">
        <f>COUNTIF(설정!$C$34:$C$39,"&lt;="&amp;MAX(1,C81-설정!$E$29))</f>
        <v>3</v>
      </c>
      <c r="J81" s="52">
        <f>MIN(I81,MAX(1,COUNTIF(설정!$B$15:$B$20,"&lt;="&amp;H81)))</f>
        <v>2</v>
      </c>
      <c r="K81" s="52">
        <f t="shared" si="34"/>
        <v>3</v>
      </c>
      <c r="L81" s="59">
        <f>INDEX(설정!$B$15:$B$20,J81)</f>
        <v>5</v>
      </c>
      <c r="M81" s="59">
        <f>INDEX(설정!$B$15:$B$20,K81)</f>
        <v>25</v>
      </c>
      <c r="N81" s="59">
        <f t="shared" si="35"/>
        <v>3</v>
      </c>
      <c r="O81" s="59">
        <f t="shared" si="36"/>
        <v>18</v>
      </c>
      <c r="P81" s="59">
        <f t="shared" si="37"/>
        <v>0</v>
      </c>
      <c r="Q81" s="59">
        <f t="shared" si="38"/>
        <v>0</v>
      </c>
      <c r="R81" s="59">
        <f t="shared" si="39"/>
        <v>0</v>
      </c>
      <c r="S81" s="59">
        <f t="shared" si="40"/>
        <v>3</v>
      </c>
      <c r="T81" s="59">
        <f t="shared" si="41"/>
        <v>18</v>
      </c>
      <c r="U81" s="59">
        <f t="shared" si="42"/>
        <v>0</v>
      </c>
      <c r="V81" s="78">
        <f t="shared" si="43"/>
        <v>21</v>
      </c>
      <c r="W81" s="59">
        <f t="shared" si="44"/>
        <v>165</v>
      </c>
      <c r="X81" s="79">
        <f t="shared" si="45"/>
        <v>4.4303797468354444E-2</v>
      </c>
      <c r="Y81" s="56" t="str">
        <f>INDEX(설정!$A$15:$A$20,IF(N81*M81&gt;=O81*L81,K81,J81))</f>
        <v>금괴</v>
      </c>
      <c r="Z81" s="39">
        <f>SUMIFS('드랍 구성'!$K$5:$K$102,'드랍 구성'!$A$5:$A$102,B81,'드랍 구성'!$B$5:$B$102,A81)</f>
        <v>10</v>
      </c>
      <c r="AA81" s="80">
        <f t="shared" si="46"/>
        <v>0</v>
      </c>
      <c r="AB81" s="59">
        <f t="shared" si="47"/>
        <v>2145</v>
      </c>
    </row>
    <row r="82" spans="1:28" x14ac:dyDescent="0.3">
      <c r="A82" s="37" t="s">
        <v>68</v>
      </c>
      <c r="B82" s="46" t="str">
        <f>'스테이지별 골드'!C12</f>
        <v>2-4</v>
      </c>
      <c r="C82" s="52">
        <f>MATCH(B82,'스테이지별 골드'!$C$5:$C$32,0)</f>
        <v>8</v>
      </c>
      <c r="D82" s="52">
        <f t="shared" si="32"/>
        <v>2</v>
      </c>
      <c r="E82" s="39">
        <f>'스테이지별 골드'!P12</f>
        <v>198</v>
      </c>
      <c r="F82" s="39">
        <f>'스테이지별 골드'!N12</f>
        <v>13</v>
      </c>
      <c r="G82" s="59">
        <f>ROUND(설정!$B$29*(1+설정!$C$29)^(C82-1)*(1+설정!$D$29)^(D82-1),0)</f>
        <v>22</v>
      </c>
      <c r="H82" s="58">
        <f t="shared" si="33"/>
        <v>9</v>
      </c>
      <c r="I82" s="52">
        <f>COUNTIF(설정!$C$34:$C$39,"&lt;="&amp;MAX(1,C82-설정!$E$29))</f>
        <v>3</v>
      </c>
      <c r="J82" s="52">
        <f>MIN(I82,MAX(1,COUNTIF(설정!$B$15:$B$20,"&lt;="&amp;H82)))</f>
        <v>2</v>
      </c>
      <c r="K82" s="52">
        <f t="shared" si="34"/>
        <v>3</v>
      </c>
      <c r="L82" s="59">
        <f>INDEX(설정!$B$15:$B$20,J82)</f>
        <v>5</v>
      </c>
      <c r="M82" s="59">
        <f>INDEX(설정!$B$15:$B$20,K82)</f>
        <v>25</v>
      </c>
      <c r="N82" s="59">
        <f t="shared" si="35"/>
        <v>4</v>
      </c>
      <c r="O82" s="59">
        <f t="shared" si="36"/>
        <v>18</v>
      </c>
      <c r="P82" s="59">
        <f t="shared" si="37"/>
        <v>0</v>
      </c>
      <c r="Q82" s="59">
        <f t="shared" si="38"/>
        <v>0</v>
      </c>
      <c r="R82" s="59">
        <f t="shared" si="39"/>
        <v>0</v>
      </c>
      <c r="S82" s="59">
        <f t="shared" si="40"/>
        <v>4</v>
      </c>
      <c r="T82" s="59">
        <f t="shared" si="41"/>
        <v>18</v>
      </c>
      <c r="U82" s="59">
        <f t="shared" si="42"/>
        <v>0</v>
      </c>
      <c r="V82" s="78">
        <f t="shared" si="43"/>
        <v>22</v>
      </c>
      <c r="W82" s="59">
        <f t="shared" si="44"/>
        <v>190</v>
      </c>
      <c r="X82" s="79">
        <f t="shared" si="45"/>
        <v>-4.0404040404040442E-2</v>
      </c>
      <c r="Y82" s="56" t="str">
        <f>INDEX(설정!$A$15:$A$20,IF(N82*M82&gt;=O82*L82,K82,J82))</f>
        <v>사파이어</v>
      </c>
      <c r="Z82" s="39">
        <f>SUMIFS('드랍 구성'!$K$5:$K$102,'드랍 구성'!$A$5:$A$102,B82,'드랍 구성'!$B$5:$B$102,A82)</f>
        <v>14</v>
      </c>
      <c r="AA82" s="80">
        <f t="shared" si="46"/>
        <v>1</v>
      </c>
      <c r="AB82" s="59">
        <f t="shared" si="47"/>
        <v>2470</v>
      </c>
    </row>
    <row r="83" spans="1:28" x14ac:dyDescent="0.3">
      <c r="A83" s="37" t="s">
        <v>68</v>
      </c>
      <c r="B83" s="46" t="str">
        <f>'스테이지별 골드'!C13</f>
        <v>3-1</v>
      </c>
      <c r="C83" s="52">
        <f>MATCH(B83,'스테이지별 골드'!$C$5:$C$32,0)</f>
        <v>9</v>
      </c>
      <c r="D83" s="52">
        <f t="shared" si="32"/>
        <v>3</v>
      </c>
      <c r="E83" s="39">
        <f>'스테이지별 골드'!P13</f>
        <v>239</v>
      </c>
      <c r="F83" s="39">
        <f>'스테이지별 골드'!N13</f>
        <v>14</v>
      </c>
      <c r="G83" s="59">
        <f>ROUND(설정!$B$29*(1+설정!$C$29)^(C83-1)*(1+설정!$D$29)^(D83-1),0)</f>
        <v>24</v>
      </c>
      <c r="H83" s="58">
        <f t="shared" si="33"/>
        <v>9.9583333333333339</v>
      </c>
      <c r="I83" s="52">
        <f>COUNTIF(설정!$C$34:$C$39,"&lt;="&amp;MAX(1,C83-설정!$E$29))</f>
        <v>3</v>
      </c>
      <c r="J83" s="52">
        <f>MIN(I83,MAX(1,COUNTIF(설정!$B$15:$B$20,"&lt;="&amp;H83)))</f>
        <v>2</v>
      </c>
      <c r="K83" s="52">
        <f t="shared" si="34"/>
        <v>3</v>
      </c>
      <c r="L83" s="59">
        <f>INDEX(설정!$B$15:$B$20,J83)</f>
        <v>5</v>
      </c>
      <c r="M83" s="59">
        <f>INDEX(설정!$B$15:$B$20,K83)</f>
        <v>25</v>
      </c>
      <c r="N83" s="59">
        <f t="shared" si="35"/>
        <v>6</v>
      </c>
      <c r="O83" s="59">
        <f t="shared" si="36"/>
        <v>18</v>
      </c>
      <c r="P83" s="59">
        <f t="shared" si="37"/>
        <v>0</v>
      </c>
      <c r="Q83" s="59">
        <f t="shared" si="38"/>
        <v>0</v>
      </c>
      <c r="R83" s="59">
        <f t="shared" si="39"/>
        <v>0</v>
      </c>
      <c r="S83" s="59">
        <f t="shared" si="40"/>
        <v>6</v>
      </c>
      <c r="T83" s="59">
        <f t="shared" si="41"/>
        <v>18</v>
      </c>
      <c r="U83" s="59">
        <f t="shared" si="42"/>
        <v>0</v>
      </c>
      <c r="V83" s="78">
        <f t="shared" si="43"/>
        <v>24</v>
      </c>
      <c r="W83" s="59">
        <f t="shared" si="44"/>
        <v>240</v>
      </c>
      <c r="X83" s="79">
        <f t="shared" si="45"/>
        <v>4.1841004184099972E-3</v>
      </c>
      <c r="Y83" s="56" t="str">
        <f>INDEX(설정!$A$15:$A$20,IF(N83*M83&gt;=O83*L83,K83,J83))</f>
        <v>사파이어</v>
      </c>
      <c r="Z83" s="39">
        <f>SUMIFS('드랍 구성'!$K$5:$K$102,'드랍 구성'!$A$5:$A$102,B83,'드랍 구성'!$B$5:$B$102,A83)</f>
        <v>15</v>
      </c>
      <c r="AA83" s="80">
        <f t="shared" si="46"/>
        <v>2</v>
      </c>
      <c r="AB83" s="59">
        <f t="shared" si="47"/>
        <v>3360</v>
      </c>
    </row>
    <row r="84" spans="1:28" x14ac:dyDescent="0.3">
      <c r="A84" s="37" t="s">
        <v>68</v>
      </c>
      <c r="B84" s="46" t="str">
        <f>'스테이지별 골드'!C14</f>
        <v>3-2</v>
      </c>
      <c r="C84" s="52">
        <f>MATCH(B84,'스테이지별 골드'!$C$5:$C$32,0)</f>
        <v>10</v>
      </c>
      <c r="D84" s="52">
        <f t="shared" si="32"/>
        <v>3</v>
      </c>
      <c r="E84" s="39">
        <f>'스테이지별 골드'!P14</f>
        <v>297</v>
      </c>
      <c r="F84" s="39">
        <f>'스테이지별 골드'!N14</f>
        <v>14</v>
      </c>
      <c r="G84" s="59">
        <f>ROUND(설정!$B$29*(1+설정!$C$29)^(C84-1)*(1+설정!$D$29)^(D84-1),0)</f>
        <v>24</v>
      </c>
      <c r="H84" s="58">
        <f t="shared" si="33"/>
        <v>12.375</v>
      </c>
      <c r="I84" s="52">
        <f>COUNTIF(설정!$C$34:$C$39,"&lt;="&amp;MAX(1,C84-설정!$E$29))</f>
        <v>3</v>
      </c>
      <c r="J84" s="52">
        <f>MIN(I84,MAX(1,COUNTIF(설정!$B$15:$B$20,"&lt;="&amp;H84)))</f>
        <v>2</v>
      </c>
      <c r="K84" s="52">
        <f t="shared" si="34"/>
        <v>3</v>
      </c>
      <c r="L84" s="59">
        <f>INDEX(설정!$B$15:$B$20,J84)</f>
        <v>5</v>
      </c>
      <c r="M84" s="59">
        <f>INDEX(설정!$B$15:$B$20,K84)</f>
        <v>25</v>
      </c>
      <c r="N84" s="59">
        <f t="shared" si="35"/>
        <v>9</v>
      </c>
      <c r="O84" s="59">
        <f t="shared" si="36"/>
        <v>15</v>
      </c>
      <c r="P84" s="59">
        <f t="shared" si="37"/>
        <v>0</v>
      </c>
      <c r="Q84" s="59">
        <f t="shared" si="38"/>
        <v>0</v>
      </c>
      <c r="R84" s="59">
        <f t="shared" si="39"/>
        <v>0</v>
      </c>
      <c r="S84" s="59">
        <f t="shared" si="40"/>
        <v>9</v>
      </c>
      <c r="T84" s="59">
        <f t="shared" si="41"/>
        <v>15</v>
      </c>
      <c r="U84" s="59">
        <f t="shared" si="42"/>
        <v>0</v>
      </c>
      <c r="V84" s="78">
        <f t="shared" si="43"/>
        <v>24</v>
      </c>
      <c r="W84" s="59">
        <f t="shared" si="44"/>
        <v>300</v>
      </c>
      <c r="X84" s="79">
        <f t="shared" si="45"/>
        <v>1.0101010101010166E-2</v>
      </c>
      <c r="Y84" s="56" t="str">
        <f>INDEX(설정!$A$15:$A$20,IF(N84*M84&gt;=O84*L84,K84,J84))</f>
        <v>사파이어</v>
      </c>
      <c r="Z84" s="39">
        <f>SUMIFS('드랍 구성'!$K$5:$K$102,'드랍 구성'!$A$5:$A$102,B84,'드랍 구성'!$B$5:$B$102,A84)</f>
        <v>17</v>
      </c>
      <c r="AA84" s="80">
        <f t="shared" si="46"/>
        <v>0</v>
      </c>
      <c r="AB84" s="59">
        <f t="shared" si="47"/>
        <v>4200</v>
      </c>
    </row>
    <row r="85" spans="1:28" x14ac:dyDescent="0.3">
      <c r="A85" s="37" t="s">
        <v>68</v>
      </c>
      <c r="B85" s="46" t="str">
        <f>'스테이지별 골드'!C15</f>
        <v>3-3</v>
      </c>
      <c r="C85" s="52">
        <f>MATCH(B85,'스테이지별 골드'!$C$5:$C$32,0)</f>
        <v>11</v>
      </c>
      <c r="D85" s="52">
        <f t="shared" si="32"/>
        <v>3</v>
      </c>
      <c r="E85" s="39">
        <f>'스테이지별 골드'!P15</f>
        <v>360</v>
      </c>
      <c r="F85" s="39">
        <f>'스테이지별 골드'!N15</f>
        <v>15</v>
      </c>
      <c r="G85" s="59">
        <f>ROUND(설정!$B$29*(1+설정!$C$29)^(C85-1)*(1+설정!$D$29)^(D85-1),0)</f>
        <v>25</v>
      </c>
      <c r="H85" s="58">
        <f t="shared" si="33"/>
        <v>14.4</v>
      </c>
      <c r="I85" s="52">
        <f>COUNTIF(설정!$C$34:$C$39,"&lt;="&amp;MAX(1,C85-설정!$E$29))</f>
        <v>3</v>
      </c>
      <c r="J85" s="52">
        <f>MIN(I85,MAX(1,COUNTIF(설정!$B$15:$B$20,"&lt;="&amp;H85)))</f>
        <v>2</v>
      </c>
      <c r="K85" s="52">
        <f t="shared" si="34"/>
        <v>3</v>
      </c>
      <c r="L85" s="59">
        <f>INDEX(설정!$B$15:$B$20,J85)</f>
        <v>5</v>
      </c>
      <c r="M85" s="59">
        <f>INDEX(설정!$B$15:$B$20,K85)</f>
        <v>25</v>
      </c>
      <c r="N85" s="59">
        <f t="shared" si="35"/>
        <v>12</v>
      </c>
      <c r="O85" s="59">
        <f t="shared" si="36"/>
        <v>13</v>
      </c>
      <c r="P85" s="59">
        <f t="shared" si="37"/>
        <v>0</v>
      </c>
      <c r="Q85" s="59">
        <f t="shared" si="38"/>
        <v>0</v>
      </c>
      <c r="R85" s="59">
        <f t="shared" si="39"/>
        <v>0</v>
      </c>
      <c r="S85" s="59">
        <f t="shared" si="40"/>
        <v>12</v>
      </c>
      <c r="T85" s="59">
        <f t="shared" si="41"/>
        <v>13</v>
      </c>
      <c r="U85" s="59">
        <f t="shared" si="42"/>
        <v>0</v>
      </c>
      <c r="V85" s="78">
        <f t="shared" si="43"/>
        <v>25</v>
      </c>
      <c r="W85" s="59">
        <f t="shared" si="44"/>
        <v>365</v>
      </c>
      <c r="X85" s="79">
        <f t="shared" si="45"/>
        <v>1.388888888888884E-2</v>
      </c>
      <c r="Y85" s="56" t="str">
        <f>INDEX(설정!$A$15:$A$20,IF(N85*M85&gt;=O85*L85,K85,J85))</f>
        <v>사파이어</v>
      </c>
      <c r="Z85" s="39">
        <f>SUMIFS('드랍 구성'!$K$5:$K$102,'드랍 구성'!$A$5:$A$102,B85,'드랍 구성'!$B$5:$B$102,A85)</f>
        <v>16</v>
      </c>
      <c r="AA85" s="80">
        <f t="shared" si="46"/>
        <v>1</v>
      </c>
      <c r="AB85" s="59">
        <f t="shared" si="47"/>
        <v>5475</v>
      </c>
    </row>
    <row r="86" spans="1:28" x14ac:dyDescent="0.3">
      <c r="A86" s="37" t="s">
        <v>68</v>
      </c>
      <c r="B86" s="46" t="str">
        <f>'스테이지별 골드'!C16</f>
        <v>3-4</v>
      </c>
      <c r="C86" s="52">
        <f>MATCH(B86,'스테이지별 골드'!$C$5:$C$32,0)</f>
        <v>12</v>
      </c>
      <c r="D86" s="52">
        <f t="shared" si="32"/>
        <v>3</v>
      </c>
      <c r="E86" s="39">
        <f>'스테이지별 골드'!P16</f>
        <v>450</v>
      </c>
      <c r="F86" s="39">
        <f>'스테이지별 골드'!N16</f>
        <v>15</v>
      </c>
      <c r="G86" s="59">
        <f>ROUND(설정!$B$29*(1+설정!$C$29)^(C86-1)*(1+설정!$D$29)^(D86-1),0)</f>
        <v>25</v>
      </c>
      <c r="H86" s="58">
        <f t="shared" si="33"/>
        <v>18</v>
      </c>
      <c r="I86" s="52">
        <f>COUNTIF(설정!$C$34:$C$39,"&lt;="&amp;MAX(1,C86-설정!$E$29))</f>
        <v>4</v>
      </c>
      <c r="J86" s="52">
        <f>MIN(I86,MAX(1,COUNTIF(설정!$B$15:$B$20,"&lt;="&amp;H86)))</f>
        <v>2</v>
      </c>
      <c r="K86" s="52">
        <f t="shared" si="34"/>
        <v>3</v>
      </c>
      <c r="L86" s="59">
        <f>INDEX(설정!$B$15:$B$20,J86)</f>
        <v>5</v>
      </c>
      <c r="M86" s="59">
        <f>INDEX(설정!$B$15:$B$20,K86)</f>
        <v>25</v>
      </c>
      <c r="N86" s="59">
        <f t="shared" si="35"/>
        <v>16</v>
      </c>
      <c r="O86" s="59">
        <f t="shared" si="36"/>
        <v>9</v>
      </c>
      <c r="P86" s="59">
        <f t="shared" si="37"/>
        <v>0</v>
      </c>
      <c r="Q86" s="59">
        <f t="shared" si="38"/>
        <v>0</v>
      </c>
      <c r="R86" s="59">
        <f t="shared" si="39"/>
        <v>0</v>
      </c>
      <c r="S86" s="59">
        <f t="shared" si="40"/>
        <v>16</v>
      </c>
      <c r="T86" s="59">
        <f t="shared" si="41"/>
        <v>9</v>
      </c>
      <c r="U86" s="59">
        <f t="shared" si="42"/>
        <v>0</v>
      </c>
      <c r="V86" s="78">
        <f t="shared" si="43"/>
        <v>25</v>
      </c>
      <c r="W86" s="59">
        <f t="shared" si="44"/>
        <v>445</v>
      </c>
      <c r="X86" s="79">
        <f t="shared" si="45"/>
        <v>-1.1111111111111072E-2</v>
      </c>
      <c r="Y86" s="56" t="str">
        <f>INDEX(설정!$A$15:$A$20,IF(N86*M86&gt;=O86*L86,K86,J86))</f>
        <v>사파이어</v>
      </c>
      <c r="Z86" s="39">
        <f>SUMIFS('드랍 구성'!$K$5:$K$102,'드랍 구성'!$A$5:$A$102,B86,'드랍 구성'!$B$5:$B$102,A86)</f>
        <v>18</v>
      </c>
      <c r="AA86" s="80">
        <f t="shared" si="46"/>
        <v>0</v>
      </c>
      <c r="AB86" s="59">
        <f t="shared" si="47"/>
        <v>6675</v>
      </c>
    </row>
    <row r="87" spans="1:28" x14ac:dyDescent="0.3">
      <c r="A87" s="37" t="s">
        <v>68</v>
      </c>
      <c r="B87" s="46" t="str">
        <f>'스테이지별 골드'!C17</f>
        <v>4-1</v>
      </c>
      <c r="C87" s="52">
        <f>MATCH(B87,'스테이지별 골드'!$C$5:$C$32,0)</f>
        <v>13</v>
      </c>
      <c r="D87" s="52">
        <f t="shared" si="32"/>
        <v>4</v>
      </c>
      <c r="E87" s="39">
        <f>'스테이지별 골드'!P17</f>
        <v>540</v>
      </c>
      <c r="F87" s="39">
        <f>'스테이지별 골드'!N17</f>
        <v>16</v>
      </c>
      <c r="G87" s="59">
        <f>ROUND(설정!$B$29*(1+설정!$C$29)^(C87-1)*(1+설정!$D$29)^(D87-1),0)</f>
        <v>27</v>
      </c>
      <c r="H87" s="58">
        <f t="shared" si="33"/>
        <v>20</v>
      </c>
      <c r="I87" s="52">
        <f>COUNTIF(설정!$C$34:$C$39,"&lt;="&amp;MAX(1,C87-설정!$E$29))</f>
        <v>4</v>
      </c>
      <c r="J87" s="52">
        <f>MIN(I87,MAX(1,COUNTIF(설정!$B$15:$B$20,"&lt;="&amp;H87)))</f>
        <v>2</v>
      </c>
      <c r="K87" s="52">
        <f t="shared" si="34"/>
        <v>3</v>
      </c>
      <c r="L87" s="59">
        <f>INDEX(설정!$B$15:$B$20,J87)</f>
        <v>5</v>
      </c>
      <c r="M87" s="59">
        <f>INDEX(설정!$B$15:$B$20,K87)</f>
        <v>25</v>
      </c>
      <c r="N87" s="59">
        <f t="shared" si="35"/>
        <v>20</v>
      </c>
      <c r="O87" s="59">
        <f t="shared" si="36"/>
        <v>7</v>
      </c>
      <c r="P87" s="59">
        <f t="shared" si="37"/>
        <v>0</v>
      </c>
      <c r="Q87" s="59">
        <f t="shared" si="38"/>
        <v>0</v>
      </c>
      <c r="R87" s="59">
        <f t="shared" si="39"/>
        <v>0</v>
      </c>
      <c r="S87" s="59">
        <f t="shared" si="40"/>
        <v>20</v>
      </c>
      <c r="T87" s="59">
        <f t="shared" si="41"/>
        <v>7</v>
      </c>
      <c r="U87" s="59">
        <f t="shared" si="42"/>
        <v>0</v>
      </c>
      <c r="V87" s="78">
        <f t="shared" si="43"/>
        <v>27</v>
      </c>
      <c r="W87" s="59">
        <f t="shared" si="44"/>
        <v>535</v>
      </c>
      <c r="X87" s="79">
        <f t="shared" si="45"/>
        <v>-9.2592592592593004E-3</v>
      </c>
      <c r="Y87" s="56" t="str">
        <f>INDEX(설정!$A$15:$A$20,IF(N87*M87&gt;=O87*L87,K87,J87))</f>
        <v>사파이어</v>
      </c>
      <c r="Z87" s="39">
        <f>SUMIFS('드랍 구성'!$K$5:$K$102,'드랍 구성'!$A$5:$A$102,B87,'드랍 구성'!$B$5:$B$102,A87)</f>
        <v>9</v>
      </c>
      <c r="AA87" s="80">
        <f t="shared" si="46"/>
        <v>2</v>
      </c>
      <c r="AB87" s="59">
        <f t="shared" si="47"/>
        <v>8560</v>
      </c>
    </row>
    <row r="88" spans="1:28" x14ac:dyDescent="0.3">
      <c r="A88" s="37" t="s">
        <v>68</v>
      </c>
      <c r="B88" s="46" t="str">
        <f>'스테이지별 골드'!C18</f>
        <v>4-2</v>
      </c>
      <c r="C88" s="52">
        <f>MATCH(B88,'스테이지별 골드'!$C$5:$C$32,0)</f>
        <v>14</v>
      </c>
      <c r="D88" s="52">
        <f t="shared" si="32"/>
        <v>4</v>
      </c>
      <c r="E88" s="39">
        <f>'스테이지별 골드'!P18</f>
        <v>675</v>
      </c>
      <c r="F88" s="39">
        <f>'스테이지별 골드'!N18</f>
        <v>16</v>
      </c>
      <c r="G88" s="59">
        <f>ROUND(설정!$B$29*(1+설정!$C$29)^(C88-1)*(1+설정!$D$29)^(D88-1),0)</f>
        <v>28</v>
      </c>
      <c r="H88" s="58">
        <f t="shared" si="33"/>
        <v>24.107142857142858</v>
      </c>
      <c r="I88" s="52">
        <f>COUNTIF(설정!$C$34:$C$39,"&lt;="&amp;MAX(1,C88-설정!$E$29))</f>
        <v>4</v>
      </c>
      <c r="J88" s="52">
        <f>MIN(I88,MAX(1,COUNTIF(설정!$B$15:$B$20,"&lt;="&amp;H88)))</f>
        <v>2</v>
      </c>
      <c r="K88" s="52">
        <f t="shared" si="34"/>
        <v>3</v>
      </c>
      <c r="L88" s="59">
        <f>INDEX(설정!$B$15:$B$20,J88)</f>
        <v>5</v>
      </c>
      <c r="M88" s="59">
        <f>INDEX(설정!$B$15:$B$20,K88)</f>
        <v>25</v>
      </c>
      <c r="N88" s="59">
        <f t="shared" si="35"/>
        <v>27</v>
      </c>
      <c r="O88" s="59">
        <f t="shared" si="36"/>
        <v>1</v>
      </c>
      <c r="P88" s="59">
        <f t="shared" si="37"/>
        <v>0</v>
      </c>
      <c r="Q88" s="59">
        <f t="shared" si="38"/>
        <v>0</v>
      </c>
      <c r="R88" s="59">
        <f t="shared" si="39"/>
        <v>0</v>
      </c>
      <c r="S88" s="59">
        <f t="shared" si="40"/>
        <v>27</v>
      </c>
      <c r="T88" s="59">
        <f t="shared" si="41"/>
        <v>1</v>
      </c>
      <c r="U88" s="59">
        <f t="shared" si="42"/>
        <v>0</v>
      </c>
      <c r="V88" s="78">
        <f t="shared" si="43"/>
        <v>28</v>
      </c>
      <c r="W88" s="59">
        <f t="shared" si="44"/>
        <v>680</v>
      </c>
      <c r="X88" s="79">
        <f t="shared" si="45"/>
        <v>7.4074074074073071E-3</v>
      </c>
      <c r="Y88" s="56" t="str">
        <f>INDEX(설정!$A$15:$A$20,IF(N88*M88&gt;=O88*L88,K88,J88))</f>
        <v>사파이어</v>
      </c>
      <c r="Z88" s="39">
        <f>SUMIFS('드랍 구성'!$K$5:$K$102,'드랍 구성'!$A$5:$A$102,B88,'드랍 구성'!$B$5:$B$102,A88)</f>
        <v>9</v>
      </c>
      <c r="AA88" s="80">
        <f t="shared" si="46"/>
        <v>1</v>
      </c>
      <c r="AB88" s="59">
        <f t="shared" si="47"/>
        <v>10880</v>
      </c>
    </row>
    <row r="89" spans="1:28" x14ac:dyDescent="0.3">
      <c r="A89" s="37" t="s">
        <v>68</v>
      </c>
      <c r="B89" s="46" t="str">
        <f>'스테이지별 골드'!C19</f>
        <v>4-3</v>
      </c>
      <c r="C89" s="52">
        <f>MATCH(B89,'스테이지별 골드'!$C$5:$C$32,0)</f>
        <v>15</v>
      </c>
      <c r="D89" s="52">
        <f t="shared" si="32"/>
        <v>4</v>
      </c>
      <c r="E89" s="39">
        <f>'스테이지별 골드'!P19</f>
        <v>810</v>
      </c>
      <c r="F89" s="39">
        <f>'스테이지별 골드'!N19</f>
        <v>17</v>
      </c>
      <c r="G89" s="59">
        <f>ROUND(설정!$B$29*(1+설정!$C$29)^(C89-1)*(1+설정!$D$29)^(D89-1),0)</f>
        <v>28</v>
      </c>
      <c r="H89" s="58">
        <f t="shared" si="33"/>
        <v>28.928571428571427</v>
      </c>
      <c r="I89" s="52">
        <f>COUNTIF(설정!$C$34:$C$39,"&lt;="&amp;MAX(1,C89-설정!$E$29))</f>
        <v>4</v>
      </c>
      <c r="J89" s="52">
        <f>MIN(I89,MAX(1,COUNTIF(설정!$B$15:$B$20,"&lt;="&amp;H89)))</f>
        <v>3</v>
      </c>
      <c r="K89" s="52">
        <f t="shared" si="34"/>
        <v>4</v>
      </c>
      <c r="L89" s="59">
        <f>INDEX(설정!$B$15:$B$20,J89)</f>
        <v>25</v>
      </c>
      <c r="M89" s="59">
        <f>INDEX(설정!$B$15:$B$20,K89)</f>
        <v>100</v>
      </c>
      <c r="N89" s="59">
        <f t="shared" si="35"/>
        <v>1</v>
      </c>
      <c r="O89" s="59">
        <f t="shared" si="36"/>
        <v>27</v>
      </c>
      <c r="P89" s="59">
        <f t="shared" si="37"/>
        <v>0</v>
      </c>
      <c r="Q89" s="59">
        <f t="shared" si="38"/>
        <v>0</v>
      </c>
      <c r="R89" s="59">
        <f t="shared" si="39"/>
        <v>1</v>
      </c>
      <c r="S89" s="59">
        <f t="shared" si="40"/>
        <v>27</v>
      </c>
      <c r="T89" s="59">
        <f t="shared" si="41"/>
        <v>0</v>
      </c>
      <c r="U89" s="59">
        <f t="shared" si="42"/>
        <v>0</v>
      </c>
      <c r="V89" s="78">
        <f t="shared" si="43"/>
        <v>28</v>
      </c>
      <c r="W89" s="59">
        <f t="shared" si="44"/>
        <v>775</v>
      </c>
      <c r="X89" s="79">
        <f t="shared" si="45"/>
        <v>-4.3209876543209846E-2</v>
      </c>
      <c r="Y89" s="56" t="str">
        <f>INDEX(설정!$A$15:$A$20,IF(N89*M89&gt;=O89*L89,K89,J89))</f>
        <v>사파이어</v>
      </c>
      <c r="Z89" s="39">
        <f>SUMIFS('드랍 구성'!$K$5:$K$102,'드랍 구성'!$A$5:$A$102,B89,'드랍 구성'!$B$5:$B$102,A89)</f>
        <v>10</v>
      </c>
      <c r="AA89" s="80">
        <f t="shared" si="46"/>
        <v>0</v>
      </c>
      <c r="AB89" s="59">
        <f t="shared" si="47"/>
        <v>13175</v>
      </c>
    </row>
    <row r="90" spans="1:28" x14ac:dyDescent="0.3">
      <c r="A90" s="37" t="s">
        <v>68</v>
      </c>
      <c r="B90" s="46" t="str">
        <f>'스테이지별 골드'!C20</f>
        <v>4-4</v>
      </c>
      <c r="C90" s="52">
        <f>MATCH(B90,'스테이지별 골드'!$C$5:$C$32,0)</f>
        <v>16</v>
      </c>
      <c r="D90" s="52">
        <f t="shared" si="32"/>
        <v>4</v>
      </c>
      <c r="E90" s="39">
        <f>'스테이지별 골드'!P20</f>
        <v>1013</v>
      </c>
      <c r="F90" s="39">
        <f>'스테이지별 골드'!N20</f>
        <v>17</v>
      </c>
      <c r="G90" s="59">
        <f>ROUND(설정!$B$29*(1+설정!$C$29)^(C90-1)*(1+설정!$D$29)^(D90-1),0)</f>
        <v>29</v>
      </c>
      <c r="H90" s="58">
        <f t="shared" si="33"/>
        <v>34.931034482758619</v>
      </c>
      <c r="I90" s="52">
        <f>COUNTIF(설정!$C$34:$C$39,"&lt;="&amp;MAX(1,C90-설정!$E$29))</f>
        <v>4</v>
      </c>
      <c r="J90" s="52">
        <f>MIN(I90,MAX(1,COUNTIF(설정!$B$15:$B$20,"&lt;="&amp;H90)))</f>
        <v>3</v>
      </c>
      <c r="K90" s="52">
        <f t="shared" si="34"/>
        <v>4</v>
      </c>
      <c r="L90" s="59">
        <f>INDEX(설정!$B$15:$B$20,J90)</f>
        <v>25</v>
      </c>
      <c r="M90" s="59">
        <f>INDEX(설정!$B$15:$B$20,K90)</f>
        <v>100</v>
      </c>
      <c r="N90" s="59">
        <f t="shared" si="35"/>
        <v>4</v>
      </c>
      <c r="O90" s="59">
        <f t="shared" si="36"/>
        <v>25</v>
      </c>
      <c r="P90" s="59">
        <f t="shared" si="37"/>
        <v>0</v>
      </c>
      <c r="Q90" s="59">
        <f t="shared" si="38"/>
        <v>0</v>
      </c>
      <c r="R90" s="59">
        <f t="shared" si="39"/>
        <v>4</v>
      </c>
      <c r="S90" s="59">
        <f t="shared" si="40"/>
        <v>25</v>
      </c>
      <c r="T90" s="59">
        <f t="shared" si="41"/>
        <v>0</v>
      </c>
      <c r="U90" s="59">
        <f t="shared" si="42"/>
        <v>0</v>
      </c>
      <c r="V90" s="78">
        <f t="shared" si="43"/>
        <v>29</v>
      </c>
      <c r="W90" s="59">
        <f t="shared" si="44"/>
        <v>1025</v>
      </c>
      <c r="X90" s="79">
        <f t="shared" si="45"/>
        <v>1.1846001974333609E-2</v>
      </c>
      <c r="Y90" s="56" t="str">
        <f>INDEX(설정!$A$15:$A$20,IF(N90*M90&gt;=O90*L90,K90,J90))</f>
        <v>사파이어</v>
      </c>
      <c r="Z90" s="39">
        <f>SUMIFS('드랍 구성'!$K$5:$K$102,'드랍 구성'!$A$5:$A$102,B90,'드랍 구성'!$B$5:$B$102,A90)</f>
        <v>15</v>
      </c>
      <c r="AA90" s="80">
        <f t="shared" si="46"/>
        <v>1</v>
      </c>
      <c r="AB90" s="59">
        <f t="shared" si="47"/>
        <v>17425</v>
      </c>
    </row>
    <row r="91" spans="1:28" x14ac:dyDescent="0.3">
      <c r="A91" s="37" t="s">
        <v>68</v>
      </c>
      <c r="B91" s="46" t="str">
        <f>'스테이지별 골드'!C21</f>
        <v>5-1</v>
      </c>
      <c r="C91" s="52">
        <f>MATCH(B91,'스테이지별 골드'!$C$5:$C$32,0)</f>
        <v>17</v>
      </c>
      <c r="D91" s="52">
        <f t="shared" si="32"/>
        <v>5</v>
      </c>
      <c r="E91" s="39">
        <f>'스테이지별 골드'!P21</f>
        <v>1215</v>
      </c>
      <c r="F91" s="39">
        <f>'스테이지별 골드'!N21</f>
        <v>18</v>
      </c>
      <c r="G91" s="59">
        <f>ROUND(설정!$B$29*(1+설정!$C$29)^(C91-1)*(1+설정!$D$29)^(D91-1),0)</f>
        <v>31</v>
      </c>
      <c r="H91" s="58">
        <f t="shared" si="33"/>
        <v>39.193548387096776</v>
      </c>
      <c r="I91" s="52">
        <f>COUNTIF(설정!$C$34:$C$39,"&lt;="&amp;MAX(1,C91-설정!$E$29))</f>
        <v>4</v>
      </c>
      <c r="J91" s="52">
        <f>MIN(I91,MAX(1,COUNTIF(설정!$B$15:$B$20,"&lt;="&amp;H91)))</f>
        <v>3</v>
      </c>
      <c r="K91" s="52">
        <f t="shared" si="34"/>
        <v>4</v>
      </c>
      <c r="L91" s="59">
        <f>INDEX(설정!$B$15:$B$20,J91)</f>
        <v>25</v>
      </c>
      <c r="M91" s="59">
        <f>INDEX(설정!$B$15:$B$20,K91)</f>
        <v>100</v>
      </c>
      <c r="N91" s="59">
        <f t="shared" si="35"/>
        <v>6</v>
      </c>
      <c r="O91" s="59">
        <f t="shared" si="36"/>
        <v>25</v>
      </c>
      <c r="P91" s="59">
        <f t="shared" si="37"/>
        <v>0</v>
      </c>
      <c r="Q91" s="59">
        <f t="shared" si="38"/>
        <v>0</v>
      </c>
      <c r="R91" s="59">
        <f t="shared" si="39"/>
        <v>6</v>
      </c>
      <c r="S91" s="59">
        <f t="shared" si="40"/>
        <v>25</v>
      </c>
      <c r="T91" s="59">
        <f t="shared" si="41"/>
        <v>0</v>
      </c>
      <c r="U91" s="59">
        <f t="shared" si="42"/>
        <v>0</v>
      </c>
      <c r="V91" s="78">
        <f t="shared" si="43"/>
        <v>31</v>
      </c>
      <c r="W91" s="59">
        <f t="shared" si="44"/>
        <v>1225</v>
      </c>
      <c r="X91" s="79">
        <f t="shared" si="45"/>
        <v>8.2304526748970819E-3</v>
      </c>
      <c r="Y91" s="56" t="str">
        <f>INDEX(설정!$A$15:$A$20,IF(N91*M91&gt;=O91*L91,K91,J91))</f>
        <v>사파이어</v>
      </c>
      <c r="Z91" s="39">
        <f>SUMIFS('드랍 구성'!$K$5:$K$102,'드랍 구성'!$A$5:$A$102,B91,'드랍 구성'!$B$5:$B$102,A91)</f>
        <v>15</v>
      </c>
      <c r="AA91" s="80">
        <f t="shared" si="46"/>
        <v>2</v>
      </c>
      <c r="AB91" s="59">
        <f t="shared" si="47"/>
        <v>22050</v>
      </c>
    </row>
    <row r="92" spans="1:28" x14ac:dyDescent="0.3">
      <c r="A92" s="37" t="s">
        <v>68</v>
      </c>
      <c r="B92" s="46" t="str">
        <f>'스테이지별 골드'!C22</f>
        <v>5-2</v>
      </c>
      <c r="C92" s="52">
        <f>MATCH(B92,'스테이지별 골드'!$C$5:$C$32,0)</f>
        <v>18</v>
      </c>
      <c r="D92" s="52">
        <f t="shared" si="32"/>
        <v>5</v>
      </c>
      <c r="E92" s="39">
        <f>'스테이지별 골드'!P22</f>
        <v>1530</v>
      </c>
      <c r="F92" s="39">
        <f>'스테이지별 골드'!N22</f>
        <v>18</v>
      </c>
      <c r="G92" s="59">
        <f>ROUND(설정!$B$29*(1+설정!$C$29)^(C92-1)*(1+설정!$D$29)^(D92-1),0)</f>
        <v>32</v>
      </c>
      <c r="H92" s="58">
        <f t="shared" si="33"/>
        <v>47.8125</v>
      </c>
      <c r="I92" s="52">
        <f>COUNTIF(설정!$C$34:$C$39,"&lt;="&amp;MAX(1,C92-설정!$E$29))</f>
        <v>4</v>
      </c>
      <c r="J92" s="52">
        <f>MIN(I92,MAX(1,COUNTIF(설정!$B$15:$B$20,"&lt;="&amp;H92)))</f>
        <v>3</v>
      </c>
      <c r="K92" s="52">
        <f t="shared" si="34"/>
        <v>4</v>
      </c>
      <c r="L92" s="59">
        <f>INDEX(설정!$B$15:$B$20,J92)</f>
        <v>25</v>
      </c>
      <c r="M92" s="59">
        <f>INDEX(설정!$B$15:$B$20,K92)</f>
        <v>100</v>
      </c>
      <c r="N92" s="59">
        <f t="shared" si="35"/>
        <v>10</v>
      </c>
      <c r="O92" s="59">
        <f t="shared" si="36"/>
        <v>22</v>
      </c>
      <c r="P92" s="59">
        <f t="shared" si="37"/>
        <v>0</v>
      </c>
      <c r="Q92" s="59">
        <f t="shared" si="38"/>
        <v>0</v>
      </c>
      <c r="R92" s="59">
        <f t="shared" si="39"/>
        <v>10</v>
      </c>
      <c r="S92" s="59">
        <f t="shared" si="40"/>
        <v>22</v>
      </c>
      <c r="T92" s="59">
        <f t="shared" si="41"/>
        <v>0</v>
      </c>
      <c r="U92" s="59">
        <f t="shared" si="42"/>
        <v>0</v>
      </c>
      <c r="V92" s="78">
        <f t="shared" si="43"/>
        <v>32</v>
      </c>
      <c r="W92" s="59">
        <f t="shared" si="44"/>
        <v>1550</v>
      </c>
      <c r="X92" s="79">
        <f t="shared" si="45"/>
        <v>1.3071895424836555E-2</v>
      </c>
      <c r="Y92" s="56" t="str">
        <f>INDEX(설정!$A$15:$A$20,IF(N92*M92&gt;=O92*L92,K92,J92))</f>
        <v>루비</v>
      </c>
      <c r="Z92" s="39">
        <f>SUMIFS('드랍 구성'!$K$5:$K$102,'드랍 구성'!$A$5:$A$102,B92,'드랍 구성'!$B$5:$B$102,A92)</f>
        <v>17</v>
      </c>
      <c r="AA92" s="80">
        <f t="shared" si="46"/>
        <v>1</v>
      </c>
      <c r="AB92" s="59">
        <f t="shared" si="47"/>
        <v>27900</v>
      </c>
    </row>
    <row r="93" spans="1:28" x14ac:dyDescent="0.3">
      <c r="A93" s="37" t="s">
        <v>68</v>
      </c>
      <c r="B93" s="46" t="str">
        <f>'스테이지별 골드'!C23</f>
        <v>5-3</v>
      </c>
      <c r="C93" s="52">
        <f>MATCH(B93,'스테이지별 골드'!$C$5:$C$32,0)</f>
        <v>19</v>
      </c>
      <c r="D93" s="52">
        <f t="shared" si="32"/>
        <v>5</v>
      </c>
      <c r="E93" s="39">
        <f>'스테이지별 골드'!P23</f>
        <v>1845</v>
      </c>
      <c r="F93" s="39">
        <f>'스테이지별 골드'!N23</f>
        <v>19</v>
      </c>
      <c r="G93" s="59">
        <f>ROUND(설정!$B$29*(1+설정!$C$29)^(C93-1)*(1+설정!$D$29)^(D93-1),0)</f>
        <v>32</v>
      </c>
      <c r="H93" s="58">
        <f t="shared" si="33"/>
        <v>57.65625</v>
      </c>
      <c r="I93" s="52">
        <f>COUNTIF(설정!$C$34:$C$39,"&lt;="&amp;MAX(1,C93-설정!$E$29))</f>
        <v>4</v>
      </c>
      <c r="J93" s="52">
        <f>MIN(I93,MAX(1,COUNTIF(설정!$B$15:$B$20,"&lt;="&amp;H93)))</f>
        <v>3</v>
      </c>
      <c r="K93" s="52">
        <f t="shared" si="34"/>
        <v>4</v>
      </c>
      <c r="L93" s="59">
        <f>INDEX(설정!$B$15:$B$20,J93)</f>
        <v>25</v>
      </c>
      <c r="M93" s="59">
        <f>INDEX(설정!$B$15:$B$20,K93)</f>
        <v>100</v>
      </c>
      <c r="N93" s="59">
        <f t="shared" si="35"/>
        <v>14</v>
      </c>
      <c r="O93" s="59">
        <f t="shared" si="36"/>
        <v>18</v>
      </c>
      <c r="P93" s="59">
        <f t="shared" si="37"/>
        <v>0</v>
      </c>
      <c r="Q93" s="59">
        <f t="shared" si="38"/>
        <v>0</v>
      </c>
      <c r="R93" s="59">
        <f t="shared" si="39"/>
        <v>14</v>
      </c>
      <c r="S93" s="59">
        <f t="shared" si="40"/>
        <v>18</v>
      </c>
      <c r="T93" s="59">
        <f t="shared" si="41"/>
        <v>0</v>
      </c>
      <c r="U93" s="59">
        <f t="shared" si="42"/>
        <v>0</v>
      </c>
      <c r="V93" s="78">
        <f t="shared" si="43"/>
        <v>32</v>
      </c>
      <c r="W93" s="59">
        <f t="shared" si="44"/>
        <v>1850</v>
      </c>
      <c r="X93" s="79">
        <f t="shared" si="45"/>
        <v>2.7100271002709064E-3</v>
      </c>
      <c r="Y93" s="56" t="str">
        <f>INDEX(설정!$A$15:$A$20,IF(N93*M93&gt;=O93*L93,K93,J93))</f>
        <v>루비</v>
      </c>
      <c r="Z93" s="39">
        <f>SUMIFS('드랍 구성'!$K$5:$K$102,'드랍 구성'!$A$5:$A$102,B93,'드랍 구성'!$B$5:$B$102,A93)</f>
        <v>23</v>
      </c>
      <c r="AA93" s="80">
        <f t="shared" si="46"/>
        <v>0</v>
      </c>
      <c r="AB93" s="59">
        <f t="shared" si="47"/>
        <v>35150</v>
      </c>
    </row>
    <row r="94" spans="1:28" x14ac:dyDescent="0.3">
      <c r="A94" s="37" t="s">
        <v>68</v>
      </c>
      <c r="B94" s="46" t="str">
        <f>'스테이지별 골드'!C24</f>
        <v>5-4</v>
      </c>
      <c r="C94" s="52">
        <f>MATCH(B94,'스테이지별 골드'!$C$5:$C$32,0)</f>
        <v>20</v>
      </c>
      <c r="D94" s="52">
        <f t="shared" si="32"/>
        <v>5</v>
      </c>
      <c r="E94" s="39">
        <f>'스테이지별 골드'!P24</f>
        <v>2295</v>
      </c>
      <c r="F94" s="39">
        <f>'스테이지별 골드'!N24</f>
        <v>19</v>
      </c>
      <c r="G94" s="59">
        <f>ROUND(설정!$B$29*(1+설정!$C$29)^(C94-1)*(1+설정!$D$29)^(D94-1),0)</f>
        <v>33</v>
      </c>
      <c r="H94" s="58">
        <f t="shared" si="33"/>
        <v>69.545454545454547</v>
      </c>
      <c r="I94" s="52">
        <f>COUNTIF(설정!$C$34:$C$39,"&lt;="&amp;MAX(1,C94-설정!$E$29))</f>
        <v>5</v>
      </c>
      <c r="J94" s="52">
        <f>MIN(I94,MAX(1,COUNTIF(설정!$B$15:$B$20,"&lt;="&amp;H94)))</f>
        <v>3</v>
      </c>
      <c r="K94" s="52">
        <f t="shared" si="34"/>
        <v>4</v>
      </c>
      <c r="L94" s="59">
        <f>INDEX(설정!$B$15:$B$20,J94)</f>
        <v>25</v>
      </c>
      <c r="M94" s="59">
        <f>INDEX(설정!$B$15:$B$20,K94)</f>
        <v>100</v>
      </c>
      <c r="N94" s="59">
        <f t="shared" si="35"/>
        <v>20</v>
      </c>
      <c r="O94" s="59">
        <f t="shared" si="36"/>
        <v>13</v>
      </c>
      <c r="P94" s="59">
        <f t="shared" si="37"/>
        <v>0</v>
      </c>
      <c r="Q94" s="59">
        <f t="shared" si="38"/>
        <v>0</v>
      </c>
      <c r="R94" s="59">
        <f t="shared" si="39"/>
        <v>20</v>
      </c>
      <c r="S94" s="59">
        <f t="shared" si="40"/>
        <v>13</v>
      </c>
      <c r="T94" s="59">
        <f t="shared" si="41"/>
        <v>0</v>
      </c>
      <c r="U94" s="59">
        <f t="shared" si="42"/>
        <v>0</v>
      </c>
      <c r="V94" s="78">
        <f t="shared" si="43"/>
        <v>33</v>
      </c>
      <c r="W94" s="59">
        <f t="shared" si="44"/>
        <v>2325</v>
      </c>
      <c r="X94" s="79">
        <f t="shared" si="45"/>
        <v>1.3071895424836555E-2</v>
      </c>
      <c r="Y94" s="56" t="str">
        <f>INDEX(설정!$A$15:$A$20,IF(N94*M94&gt;=O94*L94,K94,J94))</f>
        <v>루비</v>
      </c>
      <c r="Z94" s="39">
        <f>SUMIFS('드랍 구성'!$K$5:$K$102,'드랍 구성'!$A$5:$A$102,B94,'드랍 구성'!$B$5:$B$102,A94)</f>
        <v>29</v>
      </c>
      <c r="AA94" s="80">
        <f t="shared" si="46"/>
        <v>1</v>
      </c>
      <c r="AB94" s="59">
        <f t="shared" si="47"/>
        <v>44175</v>
      </c>
    </row>
    <row r="95" spans="1:28" x14ac:dyDescent="0.3">
      <c r="A95" s="37" t="s">
        <v>68</v>
      </c>
      <c r="B95" s="46" t="str">
        <f>'스테이지별 골드'!C25</f>
        <v>6-1</v>
      </c>
      <c r="C95" s="52">
        <f>MATCH(B95,'스테이지별 골드'!$C$5:$C$32,0)</f>
        <v>21</v>
      </c>
      <c r="D95" s="52">
        <f t="shared" si="32"/>
        <v>6</v>
      </c>
      <c r="E95" s="39">
        <f>'스테이지별 골드'!P25</f>
        <v>2790</v>
      </c>
      <c r="F95" s="39">
        <f>'스테이지별 골드'!N25</f>
        <v>20</v>
      </c>
      <c r="G95" s="59">
        <f>ROUND(설정!$B$29*(1+설정!$C$29)^(C95-1)*(1+설정!$D$29)^(D95-1),0)</f>
        <v>36</v>
      </c>
      <c r="H95" s="58">
        <f t="shared" si="33"/>
        <v>77.5</v>
      </c>
      <c r="I95" s="52">
        <f>COUNTIF(설정!$C$34:$C$39,"&lt;="&amp;MAX(1,C95-설정!$E$29))</f>
        <v>5</v>
      </c>
      <c r="J95" s="52">
        <f>MIN(I95,MAX(1,COUNTIF(설정!$B$15:$B$20,"&lt;="&amp;H95)))</f>
        <v>3</v>
      </c>
      <c r="K95" s="52">
        <f t="shared" si="34"/>
        <v>4</v>
      </c>
      <c r="L95" s="59">
        <f>INDEX(설정!$B$15:$B$20,J95)</f>
        <v>25</v>
      </c>
      <c r="M95" s="59">
        <f>INDEX(설정!$B$15:$B$20,K95)</f>
        <v>100</v>
      </c>
      <c r="N95" s="59">
        <f t="shared" si="35"/>
        <v>25</v>
      </c>
      <c r="O95" s="59">
        <f t="shared" si="36"/>
        <v>11</v>
      </c>
      <c r="P95" s="59">
        <f t="shared" si="37"/>
        <v>0</v>
      </c>
      <c r="Q95" s="59">
        <f t="shared" si="38"/>
        <v>0</v>
      </c>
      <c r="R95" s="59">
        <f t="shared" si="39"/>
        <v>25</v>
      </c>
      <c r="S95" s="59">
        <f t="shared" si="40"/>
        <v>11</v>
      </c>
      <c r="T95" s="59">
        <f t="shared" si="41"/>
        <v>0</v>
      </c>
      <c r="U95" s="59">
        <f t="shared" si="42"/>
        <v>0</v>
      </c>
      <c r="V95" s="78">
        <f t="shared" si="43"/>
        <v>36</v>
      </c>
      <c r="W95" s="59">
        <f t="shared" si="44"/>
        <v>2775</v>
      </c>
      <c r="X95" s="79">
        <f t="shared" si="45"/>
        <v>-5.3763440860215006E-3</v>
      </c>
      <c r="Y95" s="56" t="str">
        <f>INDEX(설정!$A$15:$A$20,IF(N95*M95&gt;=O95*L95,K95,J95))</f>
        <v>루비</v>
      </c>
      <c r="Z95" s="39">
        <f>SUMIFS('드랍 구성'!$K$5:$K$102,'드랍 구성'!$A$5:$A$102,B95,'드랍 구성'!$B$5:$B$102,A95)</f>
        <v>13</v>
      </c>
      <c r="AA95" s="80">
        <f t="shared" si="46"/>
        <v>3</v>
      </c>
      <c r="AB95" s="59">
        <f t="shared" si="47"/>
        <v>55500</v>
      </c>
    </row>
    <row r="96" spans="1:28" x14ac:dyDescent="0.3">
      <c r="A96" s="37" t="s">
        <v>68</v>
      </c>
      <c r="B96" s="46" t="str">
        <f>'스테이지별 골드'!C26</f>
        <v>6-2</v>
      </c>
      <c r="C96" s="52">
        <f>MATCH(B96,'스테이지별 골드'!$C$5:$C$32,0)</f>
        <v>22</v>
      </c>
      <c r="D96" s="52">
        <f t="shared" si="32"/>
        <v>6</v>
      </c>
      <c r="E96" s="39">
        <f>'스테이지별 골드'!P26</f>
        <v>3465</v>
      </c>
      <c r="F96" s="39">
        <f>'스테이지별 골드'!N26</f>
        <v>20</v>
      </c>
      <c r="G96" s="59">
        <f>ROUND(설정!$B$29*(1+설정!$C$29)^(C96-1)*(1+설정!$D$29)^(D96-1),0)</f>
        <v>37</v>
      </c>
      <c r="H96" s="58">
        <f t="shared" si="33"/>
        <v>93.648648648648646</v>
      </c>
      <c r="I96" s="52">
        <f>COUNTIF(설정!$C$34:$C$39,"&lt;="&amp;MAX(1,C96-설정!$E$29))</f>
        <v>5</v>
      </c>
      <c r="J96" s="52">
        <f>MIN(I96,MAX(1,COUNTIF(설정!$B$15:$B$20,"&lt;="&amp;H96)))</f>
        <v>3</v>
      </c>
      <c r="K96" s="52">
        <f t="shared" si="34"/>
        <v>4</v>
      </c>
      <c r="L96" s="59">
        <f>INDEX(설정!$B$15:$B$20,J96)</f>
        <v>25</v>
      </c>
      <c r="M96" s="59">
        <f>INDEX(설정!$B$15:$B$20,K96)</f>
        <v>100</v>
      </c>
      <c r="N96" s="59">
        <f t="shared" si="35"/>
        <v>34</v>
      </c>
      <c r="O96" s="59">
        <f t="shared" si="36"/>
        <v>3</v>
      </c>
      <c r="P96" s="59">
        <f t="shared" si="37"/>
        <v>0</v>
      </c>
      <c r="Q96" s="59">
        <f t="shared" si="38"/>
        <v>0</v>
      </c>
      <c r="R96" s="59">
        <f t="shared" si="39"/>
        <v>34</v>
      </c>
      <c r="S96" s="59">
        <f t="shared" si="40"/>
        <v>3</v>
      </c>
      <c r="T96" s="59">
        <f t="shared" si="41"/>
        <v>0</v>
      </c>
      <c r="U96" s="59">
        <f t="shared" si="42"/>
        <v>0</v>
      </c>
      <c r="V96" s="78">
        <f t="shared" si="43"/>
        <v>37</v>
      </c>
      <c r="W96" s="59">
        <f t="shared" si="44"/>
        <v>3475</v>
      </c>
      <c r="X96" s="79">
        <f t="shared" si="45"/>
        <v>2.8860028860029363E-3</v>
      </c>
      <c r="Y96" s="56" t="str">
        <f>INDEX(설정!$A$15:$A$20,IF(N96*M96&gt;=O96*L96,K96,J96))</f>
        <v>루비</v>
      </c>
      <c r="Z96" s="39">
        <f>SUMIFS('드랍 구성'!$K$5:$K$102,'드랍 구성'!$A$5:$A$102,B96,'드랍 구성'!$B$5:$B$102,A96)</f>
        <v>15</v>
      </c>
      <c r="AA96" s="80">
        <f t="shared" si="46"/>
        <v>1</v>
      </c>
      <c r="AB96" s="59">
        <f t="shared" si="47"/>
        <v>69500</v>
      </c>
    </row>
    <row r="97" spans="1:28" x14ac:dyDescent="0.3">
      <c r="A97" s="37" t="s">
        <v>68</v>
      </c>
      <c r="B97" s="46" t="str">
        <f>'스테이지별 골드'!C27</f>
        <v>6-3</v>
      </c>
      <c r="C97" s="52">
        <f>MATCH(B97,'스테이지별 골드'!$C$5:$C$32,0)</f>
        <v>23</v>
      </c>
      <c r="D97" s="52">
        <f t="shared" si="32"/>
        <v>6</v>
      </c>
      <c r="E97" s="39">
        <f>'스테이지별 골드'!P27</f>
        <v>4185</v>
      </c>
      <c r="F97" s="39">
        <f>'스테이지별 골드'!N27</f>
        <v>21</v>
      </c>
      <c r="G97" s="59">
        <f>ROUND(설정!$B$29*(1+설정!$C$29)^(C97-1)*(1+설정!$D$29)^(D97-1),0)</f>
        <v>37</v>
      </c>
      <c r="H97" s="58">
        <f t="shared" si="33"/>
        <v>113.10810810810811</v>
      </c>
      <c r="I97" s="52">
        <f>COUNTIF(설정!$C$34:$C$39,"&lt;="&amp;MAX(1,C97-설정!$E$29))</f>
        <v>5</v>
      </c>
      <c r="J97" s="52">
        <f>MIN(I97,MAX(1,COUNTIF(설정!$B$15:$B$20,"&lt;="&amp;H97)))</f>
        <v>4</v>
      </c>
      <c r="K97" s="52">
        <f t="shared" si="34"/>
        <v>5</v>
      </c>
      <c r="L97" s="59">
        <f>INDEX(설정!$B$15:$B$20,J97)</f>
        <v>100</v>
      </c>
      <c r="M97" s="59">
        <f>INDEX(설정!$B$15:$B$20,K97)</f>
        <v>500</v>
      </c>
      <c r="N97" s="59">
        <f t="shared" si="35"/>
        <v>1</v>
      </c>
      <c r="O97" s="59">
        <f t="shared" si="36"/>
        <v>36</v>
      </c>
      <c r="P97" s="59">
        <f t="shared" si="37"/>
        <v>0</v>
      </c>
      <c r="Q97" s="59">
        <f t="shared" si="38"/>
        <v>1</v>
      </c>
      <c r="R97" s="59">
        <f t="shared" si="39"/>
        <v>36</v>
      </c>
      <c r="S97" s="59">
        <f t="shared" si="40"/>
        <v>0</v>
      </c>
      <c r="T97" s="59">
        <f t="shared" si="41"/>
        <v>0</v>
      </c>
      <c r="U97" s="59">
        <f t="shared" si="42"/>
        <v>0</v>
      </c>
      <c r="V97" s="78">
        <f t="shared" si="43"/>
        <v>37</v>
      </c>
      <c r="W97" s="59">
        <f t="shared" si="44"/>
        <v>4100</v>
      </c>
      <c r="X97" s="79">
        <f t="shared" si="45"/>
        <v>-2.0310633213859064E-2</v>
      </c>
      <c r="Y97" s="56" t="str">
        <f>INDEX(설정!$A$15:$A$20,IF(N97*M97&gt;=O97*L97,K97,J97))</f>
        <v>루비</v>
      </c>
      <c r="Z97" s="39">
        <f>SUMIFS('드랍 구성'!$K$5:$K$102,'드랍 구성'!$A$5:$A$102,B97,'드랍 구성'!$B$5:$B$102,A97)</f>
        <v>14</v>
      </c>
      <c r="AA97" s="80">
        <f t="shared" si="46"/>
        <v>0</v>
      </c>
      <c r="AB97" s="59">
        <f t="shared" si="47"/>
        <v>86100</v>
      </c>
    </row>
    <row r="98" spans="1:28" x14ac:dyDescent="0.3">
      <c r="A98" s="37" t="s">
        <v>68</v>
      </c>
      <c r="B98" s="46" t="str">
        <f>'스테이지별 골드'!C28</f>
        <v>6-4</v>
      </c>
      <c r="C98" s="52">
        <f>MATCH(B98,'스테이지별 골드'!$C$5:$C$32,0)</f>
        <v>24</v>
      </c>
      <c r="D98" s="52">
        <f t="shared" si="32"/>
        <v>6</v>
      </c>
      <c r="E98" s="39">
        <f>'스테이지별 골드'!P28</f>
        <v>5220</v>
      </c>
      <c r="F98" s="39">
        <f>'스테이지별 골드'!N28</f>
        <v>21</v>
      </c>
      <c r="G98" s="59">
        <f>ROUND(설정!$B$29*(1+설정!$C$29)^(C98-1)*(1+설정!$D$29)^(D98-1),0)</f>
        <v>38</v>
      </c>
      <c r="H98" s="58">
        <f t="shared" si="33"/>
        <v>137.36842105263159</v>
      </c>
      <c r="I98" s="52">
        <f>COUNTIF(설정!$C$34:$C$39,"&lt;="&amp;MAX(1,C98-설정!$E$29))</f>
        <v>5</v>
      </c>
      <c r="J98" s="52">
        <f>MIN(I98,MAX(1,COUNTIF(설정!$B$15:$B$20,"&lt;="&amp;H98)))</f>
        <v>4</v>
      </c>
      <c r="K98" s="52">
        <f t="shared" si="34"/>
        <v>5</v>
      </c>
      <c r="L98" s="59">
        <f>INDEX(설정!$B$15:$B$20,J98)</f>
        <v>100</v>
      </c>
      <c r="M98" s="59">
        <f>INDEX(설정!$B$15:$B$20,K98)</f>
        <v>500</v>
      </c>
      <c r="N98" s="59">
        <f t="shared" si="35"/>
        <v>4</v>
      </c>
      <c r="O98" s="59">
        <f t="shared" si="36"/>
        <v>34</v>
      </c>
      <c r="P98" s="59">
        <f t="shared" si="37"/>
        <v>0</v>
      </c>
      <c r="Q98" s="59">
        <f t="shared" si="38"/>
        <v>4</v>
      </c>
      <c r="R98" s="59">
        <f t="shared" si="39"/>
        <v>34</v>
      </c>
      <c r="S98" s="59">
        <f t="shared" si="40"/>
        <v>0</v>
      </c>
      <c r="T98" s="59">
        <f t="shared" si="41"/>
        <v>0</v>
      </c>
      <c r="U98" s="59">
        <f t="shared" si="42"/>
        <v>0</v>
      </c>
      <c r="V98" s="78">
        <f t="shared" si="43"/>
        <v>38</v>
      </c>
      <c r="W98" s="59">
        <f t="shared" si="44"/>
        <v>5400</v>
      </c>
      <c r="X98" s="79">
        <f t="shared" si="45"/>
        <v>3.4482758620689724E-2</v>
      </c>
      <c r="Y98" s="56" t="str">
        <f>INDEX(설정!$A$15:$A$20,IF(N98*M98&gt;=O98*L98,K98,J98))</f>
        <v>루비</v>
      </c>
      <c r="Z98" s="39">
        <f>SUMIFS('드랍 구성'!$K$5:$K$102,'드랍 구성'!$A$5:$A$102,B98,'드랍 구성'!$B$5:$B$102,A98)</f>
        <v>11</v>
      </c>
      <c r="AA98" s="80">
        <f t="shared" si="46"/>
        <v>1</v>
      </c>
      <c r="AB98" s="59">
        <f t="shared" si="47"/>
        <v>113400</v>
      </c>
    </row>
    <row r="99" spans="1:28" x14ac:dyDescent="0.3">
      <c r="A99" s="37" t="s">
        <v>68</v>
      </c>
      <c r="B99" s="46" t="str">
        <f>'스테이지별 골드'!C29</f>
        <v>7-1</v>
      </c>
      <c r="C99" s="52">
        <f>MATCH(B99,'스테이지별 골드'!$C$5:$C$32,0)</f>
        <v>25</v>
      </c>
      <c r="D99" s="52">
        <f t="shared" si="32"/>
        <v>7</v>
      </c>
      <c r="E99" s="39">
        <f>'스테이지별 골드'!P29</f>
        <v>6300</v>
      </c>
      <c r="F99" s="39">
        <f>'스테이지별 골드'!N29</f>
        <v>22</v>
      </c>
      <c r="G99" s="59">
        <f>ROUND(설정!$B$29*(1+설정!$C$29)^(C99-1)*(1+설정!$D$29)^(D99-1),0)</f>
        <v>41</v>
      </c>
      <c r="H99" s="58">
        <f t="shared" si="33"/>
        <v>153.65853658536585</v>
      </c>
      <c r="I99" s="52">
        <f>COUNTIF(설정!$C$34:$C$39,"&lt;="&amp;MAX(1,C99-설정!$E$29))</f>
        <v>5</v>
      </c>
      <c r="J99" s="52">
        <f>MIN(I99,MAX(1,COUNTIF(설정!$B$15:$B$20,"&lt;="&amp;H99)))</f>
        <v>4</v>
      </c>
      <c r="K99" s="52">
        <f t="shared" si="34"/>
        <v>5</v>
      </c>
      <c r="L99" s="59">
        <f>INDEX(설정!$B$15:$B$20,J99)</f>
        <v>100</v>
      </c>
      <c r="M99" s="59">
        <f>INDEX(설정!$B$15:$B$20,K99)</f>
        <v>500</v>
      </c>
      <c r="N99" s="59">
        <f t="shared" si="35"/>
        <v>6</v>
      </c>
      <c r="O99" s="59">
        <f t="shared" si="36"/>
        <v>35</v>
      </c>
      <c r="P99" s="59">
        <f t="shared" si="37"/>
        <v>0</v>
      </c>
      <c r="Q99" s="59">
        <f t="shared" si="38"/>
        <v>6</v>
      </c>
      <c r="R99" s="59">
        <f t="shared" si="39"/>
        <v>35</v>
      </c>
      <c r="S99" s="59">
        <f t="shared" si="40"/>
        <v>0</v>
      </c>
      <c r="T99" s="59">
        <f t="shared" si="41"/>
        <v>0</v>
      </c>
      <c r="U99" s="59">
        <f t="shared" si="42"/>
        <v>0</v>
      </c>
      <c r="V99" s="78">
        <f t="shared" si="43"/>
        <v>41</v>
      </c>
      <c r="W99" s="59">
        <f t="shared" si="44"/>
        <v>6500</v>
      </c>
      <c r="X99" s="79">
        <f t="shared" si="45"/>
        <v>3.1746031746031855E-2</v>
      </c>
      <c r="Y99" s="56" t="str">
        <f>INDEX(설정!$A$15:$A$20,IF(N99*M99&gt;=O99*L99,K99,J99))</f>
        <v>루비</v>
      </c>
      <c r="Z99" s="39">
        <f>SUMIFS('드랍 구성'!$K$5:$K$102,'드랍 구성'!$A$5:$A$102,B99,'드랍 구성'!$B$5:$B$102,A99)</f>
        <v>9</v>
      </c>
      <c r="AA99" s="80">
        <f t="shared" si="46"/>
        <v>3</v>
      </c>
      <c r="AB99" s="59">
        <f t="shared" si="47"/>
        <v>143000</v>
      </c>
    </row>
    <row r="100" spans="1:28" x14ac:dyDescent="0.3">
      <c r="A100" s="37" t="s">
        <v>68</v>
      </c>
      <c r="B100" s="46" t="str">
        <f>'스테이지별 골드'!C30</f>
        <v>7-2</v>
      </c>
      <c r="C100" s="52">
        <f>MATCH(B100,'스테이지별 골드'!$C$5:$C$32,0)</f>
        <v>26</v>
      </c>
      <c r="D100" s="52">
        <f t="shared" si="32"/>
        <v>7</v>
      </c>
      <c r="E100" s="39">
        <f>'스테이지별 골드'!P30</f>
        <v>7875</v>
      </c>
      <c r="F100" s="39">
        <f>'스테이지별 골드'!N30</f>
        <v>22</v>
      </c>
      <c r="G100" s="59">
        <f>ROUND(설정!$B$29*(1+설정!$C$29)^(C100-1)*(1+설정!$D$29)^(D100-1),0)</f>
        <v>42</v>
      </c>
      <c r="H100" s="58">
        <f t="shared" si="33"/>
        <v>187.5</v>
      </c>
      <c r="I100" s="52">
        <f>COUNTIF(설정!$C$34:$C$39,"&lt;="&amp;MAX(1,C100-설정!$E$29))</f>
        <v>5</v>
      </c>
      <c r="J100" s="52">
        <f>MIN(I100,MAX(1,COUNTIF(설정!$B$15:$B$20,"&lt;="&amp;H100)))</f>
        <v>4</v>
      </c>
      <c r="K100" s="52">
        <f t="shared" si="34"/>
        <v>5</v>
      </c>
      <c r="L100" s="59">
        <f>INDEX(설정!$B$15:$B$20,J100)</f>
        <v>100</v>
      </c>
      <c r="M100" s="59">
        <f>INDEX(설정!$B$15:$B$20,K100)</f>
        <v>500</v>
      </c>
      <c r="N100" s="59">
        <f t="shared" si="35"/>
        <v>9</v>
      </c>
      <c r="O100" s="59">
        <f t="shared" si="36"/>
        <v>33</v>
      </c>
      <c r="P100" s="59">
        <f t="shared" si="37"/>
        <v>0</v>
      </c>
      <c r="Q100" s="59">
        <f t="shared" si="38"/>
        <v>9</v>
      </c>
      <c r="R100" s="59">
        <f t="shared" si="39"/>
        <v>33</v>
      </c>
      <c r="S100" s="59">
        <f t="shared" si="40"/>
        <v>0</v>
      </c>
      <c r="T100" s="59">
        <f t="shared" si="41"/>
        <v>0</v>
      </c>
      <c r="U100" s="59">
        <f t="shared" si="42"/>
        <v>0</v>
      </c>
      <c r="V100" s="78">
        <f t="shared" si="43"/>
        <v>42</v>
      </c>
      <c r="W100" s="59">
        <f t="shared" si="44"/>
        <v>7800</v>
      </c>
      <c r="X100" s="79">
        <f t="shared" si="45"/>
        <v>-9.52380952380949E-3</v>
      </c>
      <c r="Y100" s="56" t="str">
        <f>INDEX(설정!$A$15:$A$20,IF(N100*M100&gt;=O100*L100,K100,J100))</f>
        <v>다이아몬드</v>
      </c>
      <c r="Z100" s="39">
        <f>SUMIFS('드랍 구성'!$K$5:$K$102,'드랍 구성'!$A$5:$A$102,B100,'드랍 구성'!$B$5:$B$102,A100)</f>
        <v>14</v>
      </c>
      <c r="AA100" s="80">
        <f t="shared" si="46"/>
        <v>1</v>
      </c>
      <c r="AB100" s="59">
        <f t="shared" si="47"/>
        <v>171600</v>
      </c>
    </row>
    <row r="101" spans="1:28" x14ac:dyDescent="0.3">
      <c r="A101" s="37" t="s">
        <v>68</v>
      </c>
      <c r="B101" s="46" t="str">
        <f>'스테이지별 골드'!C31</f>
        <v>7-3</v>
      </c>
      <c r="C101" s="52">
        <f>MATCH(B101,'스테이지별 골드'!$C$5:$C$32,0)</f>
        <v>27</v>
      </c>
      <c r="D101" s="52">
        <f t="shared" ref="D101:D132" si="48">INT((C101-1)/4)+1</f>
        <v>7</v>
      </c>
      <c r="E101" s="39">
        <f>'스테이지별 골드'!P31</f>
        <v>9450</v>
      </c>
      <c r="F101" s="39">
        <f>'스테이지별 골드'!N31</f>
        <v>23</v>
      </c>
      <c r="G101" s="59">
        <f>ROUND(설정!$B$29*(1+설정!$C$29)^(C101-1)*(1+설정!$D$29)^(D101-1),0)</f>
        <v>43</v>
      </c>
      <c r="H101" s="58">
        <f t="shared" ref="H101:H132" si="49">IF(G101=0,0,E101/G101)</f>
        <v>219.76744186046511</v>
      </c>
      <c r="I101" s="52">
        <f>COUNTIF(설정!$C$34:$C$39,"&lt;="&amp;MAX(1,C101-설정!$E$29))</f>
        <v>5</v>
      </c>
      <c r="J101" s="52">
        <f>MIN(I101,MAX(1,COUNTIF(설정!$B$15:$B$20,"&lt;="&amp;H101)))</f>
        <v>4</v>
      </c>
      <c r="K101" s="52">
        <f t="shared" ref="K101:K132" si="50">IF(J101&lt;I101,J101+1,J101)</f>
        <v>5</v>
      </c>
      <c r="L101" s="59">
        <f>INDEX(설정!$B$15:$B$20,J101)</f>
        <v>100</v>
      </c>
      <c r="M101" s="59">
        <f>INDEX(설정!$B$15:$B$20,K101)</f>
        <v>500</v>
      </c>
      <c r="N101" s="59">
        <f t="shared" ref="N101:N132" si="51">IF(K101=J101,0,MIN(G101,MAX(0,ROUND((E101-G101*L101)/(M101-L101),0))))</f>
        <v>13</v>
      </c>
      <c r="O101" s="59">
        <f t="shared" ref="O101:O132" si="52">IF(K101=J101,ROUND(E101/L101,0),G101-N101)</f>
        <v>30</v>
      </c>
      <c r="P101" s="59">
        <f t="shared" si="37"/>
        <v>0</v>
      </c>
      <c r="Q101" s="59">
        <f t="shared" si="38"/>
        <v>13</v>
      </c>
      <c r="R101" s="59">
        <f t="shared" si="39"/>
        <v>30</v>
      </c>
      <c r="S101" s="59">
        <f t="shared" si="40"/>
        <v>0</v>
      </c>
      <c r="T101" s="59">
        <f t="shared" si="41"/>
        <v>0</v>
      </c>
      <c r="U101" s="59">
        <f t="shared" si="42"/>
        <v>0</v>
      </c>
      <c r="V101" s="78">
        <f t="shared" ref="V101:V132" si="53">SUM(P101:U101)</f>
        <v>43</v>
      </c>
      <c r="W101" s="59">
        <f t="shared" si="44"/>
        <v>9500</v>
      </c>
      <c r="X101" s="79">
        <f t="shared" ref="X101:X132" si="54">IF(E101=0,0,W101/E101-1)</f>
        <v>5.2910052910053462E-3</v>
      </c>
      <c r="Y101" s="56" t="str">
        <f>INDEX(설정!$A$15:$A$20,IF(N101*M101&gt;=O101*L101,K101,J101))</f>
        <v>다이아몬드</v>
      </c>
      <c r="Z101" s="39">
        <f>SUMIFS('드랍 구성'!$K$5:$K$102,'드랍 구성'!$A$5:$A$102,B101,'드랍 구성'!$B$5:$B$102,A101)</f>
        <v>15</v>
      </c>
      <c r="AA101" s="80">
        <f t="shared" si="46"/>
        <v>1</v>
      </c>
      <c r="AB101" s="59">
        <f t="shared" si="47"/>
        <v>218500</v>
      </c>
    </row>
    <row r="102" spans="1:28" x14ac:dyDescent="0.3">
      <c r="A102" s="37" t="s">
        <v>68</v>
      </c>
      <c r="B102" s="46" t="str">
        <f>'스테이지별 골드'!C32</f>
        <v>7-4</v>
      </c>
      <c r="C102" s="52">
        <f>MATCH(B102,'스테이지별 골드'!$C$5:$C$32,0)</f>
        <v>28</v>
      </c>
      <c r="D102" s="52">
        <f t="shared" si="48"/>
        <v>7</v>
      </c>
      <c r="E102" s="39">
        <f>'스테이지별 골드'!P32</f>
        <v>11700</v>
      </c>
      <c r="F102" s="39">
        <f>'스테이지별 골드'!N32</f>
        <v>23</v>
      </c>
      <c r="G102" s="59">
        <f>ROUND(설정!$B$29*(1+설정!$C$29)^(C102-1)*(1+설정!$D$29)^(D102-1),0)</f>
        <v>44</v>
      </c>
      <c r="H102" s="58">
        <f t="shared" si="49"/>
        <v>265.90909090909093</v>
      </c>
      <c r="I102" s="52">
        <f>COUNTIF(설정!$C$34:$C$39,"&lt;="&amp;MAX(1,C102-설정!$E$29))</f>
        <v>6</v>
      </c>
      <c r="J102" s="52">
        <f>MIN(I102,MAX(1,COUNTIF(설정!$B$15:$B$20,"&lt;="&amp;H102)))</f>
        <v>4</v>
      </c>
      <c r="K102" s="52">
        <f t="shared" si="50"/>
        <v>5</v>
      </c>
      <c r="L102" s="59">
        <f>INDEX(설정!$B$15:$B$20,J102)</f>
        <v>100</v>
      </c>
      <c r="M102" s="59">
        <f>INDEX(설정!$B$15:$B$20,K102)</f>
        <v>500</v>
      </c>
      <c r="N102" s="59">
        <f t="shared" si="51"/>
        <v>18</v>
      </c>
      <c r="O102" s="59">
        <f t="shared" si="52"/>
        <v>26</v>
      </c>
      <c r="P102" s="59">
        <f t="shared" si="37"/>
        <v>0</v>
      </c>
      <c r="Q102" s="59">
        <f t="shared" si="38"/>
        <v>18</v>
      </c>
      <c r="R102" s="59">
        <f t="shared" si="39"/>
        <v>26</v>
      </c>
      <c r="S102" s="59">
        <f t="shared" si="40"/>
        <v>0</v>
      </c>
      <c r="T102" s="59">
        <f t="shared" si="41"/>
        <v>0</v>
      </c>
      <c r="U102" s="59">
        <f t="shared" si="42"/>
        <v>0</v>
      </c>
      <c r="V102" s="78">
        <f t="shared" si="53"/>
        <v>44</v>
      </c>
      <c r="W102" s="59">
        <f t="shared" si="44"/>
        <v>11600</v>
      </c>
      <c r="X102" s="79">
        <f t="shared" si="54"/>
        <v>-8.5470085470085166E-3</v>
      </c>
      <c r="Y102" s="56" t="str">
        <f>INDEX(설정!$A$15:$A$20,IF(N102*M102&gt;=O102*L102,K102,J102))</f>
        <v>다이아몬드</v>
      </c>
      <c r="Z102" s="39">
        <f>SUMIFS('드랍 구성'!$K$5:$K$102,'드랍 구성'!$A$5:$A$102,B102,'드랍 구성'!$B$5:$B$102,A102)</f>
        <v>14</v>
      </c>
      <c r="AA102" s="80">
        <f t="shared" si="46"/>
        <v>1</v>
      </c>
      <c r="AB102" s="59">
        <f t="shared" si="47"/>
        <v>266800</v>
      </c>
    </row>
  </sheetData>
  <phoneticPr fontId="9" type="noConversion"/>
  <conditionalFormatting sqref="P5:U102">
    <cfRule type="cellIs" dxfId="2" priority="1" operator="greaterThan">
      <formula>0</formula>
    </cfRule>
  </conditionalFormatting>
  <conditionalFormatting sqref="X5:X102">
    <cfRule type="expression" dxfId="1" priority="3">
      <formula>ABS(X5)&gt;0.1</formula>
    </cfRule>
  </conditionalFormatting>
  <conditionalFormatting sqref="AA5:AA102">
    <cfRule type="cellIs" dxfId="0" priority="2" operator="lessThan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6"/>
  <sheetViews>
    <sheetView workbookViewId="0"/>
  </sheetViews>
  <sheetFormatPr defaultRowHeight="16.5" x14ac:dyDescent="0.3"/>
  <cols>
    <col min="1" max="1" width="30" customWidth="1"/>
    <col min="2" max="3" width="12" customWidth="1"/>
    <col min="4" max="4" width="9" customWidth="1"/>
    <col min="5" max="5" width="92" customWidth="1"/>
  </cols>
  <sheetData>
    <row r="1" spans="1:5" ht="20.25" x14ac:dyDescent="0.35">
      <c r="A1" s="81" t="s">
        <v>264</v>
      </c>
    </row>
    <row r="2" spans="1:5" x14ac:dyDescent="0.3">
      <c r="A2" s="82" t="s">
        <v>265</v>
      </c>
    </row>
    <row r="4" spans="1:5" x14ac:dyDescent="0.3">
      <c r="A4" s="83" t="s">
        <v>94</v>
      </c>
      <c r="B4" s="83" t="s">
        <v>266</v>
      </c>
      <c r="C4" s="83" t="s">
        <v>267</v>
      </c>
      <c r="D4" s="83" t="s">
        <v>96</v>
      </c>
      <c r="E4" s="83" t="s">
        <v>97</v>
      </c>
    </row>
    <row r="5" spans="1:5" x14ac:dyDescent="0.3">
      <c r="A5" s="84" t="s">
        <v>268</v>
      </c>
      <c r="B5" s="85">
        <v>0.6</v>
      </c>
      <c r="C5" s="85">
        <v>0.8</v>
      </c>
      <c r="D5" s="86" t="s">
        <v>102</v>
      </c>
      <c r="E5" s="87" t="s">
        <v>269</v>
      </c>
    </row>
    <row r="6" spans="1:5" x14ac:dyDescent="0.3">
      <c r="A6" s="84" t="s">
        <v>270</v>
      </c>
      <c r="B6" s="85">
        <v>0.5</v>
      </c>
      <c r="C6" s="85">
        <v>0.8</v>
      </c>
      <c r="D6" s="86" t="s">
        <v>102</v>
      </c>
      <c r="E6" s="87" t="s">
        <v>271</v>
      </c>
    </row>
    <row r="7" spans="1:5" x14ac:dyDescent="0.3">
      <c r="A7" s="84" t="s">
        <v>272</v>
      </c>
      <c r="B7" s="88">
        <v>0.5</v>
      </c>
      <c r="C7" s="88">
        <v>0.5</v>
      </c>
      <c r="D7" s="86" t="s">
        <v>273</v>
      </c>
      <c r="E7" s="87" t="s">
        <v>274</v>
      </c>
    </row>
    <row r="8" spans="1:5" ht="27" x14ac:dyDescent="0.3">
      <c r="A8" s="84" t="s">
        <v>275</v>
      </c>
      <c r="B8" s="85">
        <v>0.33</v>
      </c>
      <c r="C8" s="85">
        <v>0.67</v>
      </c>
      <c r="D8" s="86" t="s">
        <v>276</v>
      </c>
      <c r="E8" s="87" t="s">
        <v>277</v>
      </c>
    </row>
    <row r="9" spans="1:5" x14ac:dyDescent="0.3">
      <c r="A9" s="84" t="s">
        <v>278</v>
      </c>
      <c r="B9" s="89" t="s">
        <v>279</v>
      </c>
      <c r="C9" s="89" t="s">
        <v>279</v>
      </c>
      <c r="D9" s="86" t="s">
        <v>231</v>
      </c>
      <c r="E9" s="87" t="s">
        <v>280</v>
      </c>
    </row>
    <row r="10" spans="1:5" x14ac:dyDescent="0.3">
      <c r="A10" s="84" t="s">
        <v>281</v>
      </c>
      <c r="B10" s="90">
        <v>0.6</v>
      </c>
      <c r="C10" s="90">
        <v>0.6</v>
      </c>
      <c r="D10" s="86" t="s">
        <v>163</v>
      </c>
      <c r="E10" s="87" t="s">
        <v>282</v>
      </c>
    </row>
    <row r="11" spans="1:5" x14ac:dyDescent="0.3">
      <c r="A11" s="84" t="s">
        <v>283</v>
      </c>
      <c r="B11" s="91">
        <v>0</v>
      </c>
      <c r="C11" s="91">
        <v>0</v>
      </c>
      <c r="D11" s="86" t="s">
        <v>163</v>
      </c>
      <c r="E11" s="87" t="s">
        <v>284</v>
      </c>
    </row>
    <row r="12" spans="1:5" x14ac:dyDescent="0.3">
      <c r="A12" s="84" t="s">
        <v>285</v>
      </c>
      <c r="B12" s="92">
        <v>8</v>
      </c>
      <c r="C12" s="92">
        <v>10</v>
      </c>
      <c r="D12" s="86" t="s">
        <v>111</v>
      </c>
      <c r="E12" s="87" t="s">
        <v>286</v>
      </c>
    </row>
    <row r="13" spans="1:5" x14ac:dyDescent="0.3">
      <c r="A13" s="84" t="s">
        <v>287</v>
      </c>
      <c r="B13" s="93">
        <v>0.02</v>
      </c>
      <c r="C13" s="93">
        <v>0.02</v>
      </c>
      <c r="D13" s="86" t="s">
        <v>163</v>
      </c>
      <c r="E13" s="87"/>
    </row>
    <row r="14" spans="1:5" x14ac:dyDescent="0.3">
      <c r="A14" s="84" t="s">
        <v>288</v>
      </c>
      <c r="B14" s="93">
        <v>7.0000000000000007E-2</v>
      </c>
      <c r="C14" s="93">
        <v>7.0000000000000007E-2</v>
      </c>
      <c r="D14" s="86" t="s">
        <v>163</v>
      </c>
      <c r="E14" s="87"/>
    </row>
    <row r="15" spans="1:5" x14ac:dyDescent="0.3">
      <c r="A15" s="84" t="s">
        <v>124</v>
      </c>
      <c r="B15" s="92">
        <v>1</v>
      </c>
      <c r="C15" s="92">
        <v>1</v>
      </c>
      <c r="D15" s="86" t="s">
        <v>80</v>
      </c>
      <c r="E15" s="87" t="s">
        <v>289</v>
      </c>
    </row>
    <row r="16" spans="1:5" x14ac:dyDescent="0.3">
      <c r="A16" s="84" t="s">
        <v>290</v>
      </c>
      <c r="B16" s="89" t="s">
        <v>231</v>
      </c>
      <c r="C16" s="89" t="s">
        <v>231</v>
      </c>
      <c r="D16" s="86" t="s">
        <v>231</v>
      </c>
      <c r="E16" s="87" t="s">
        <v>291</v>
      </c>
    </row>
    <row r="19" spans="1:5" x14ac:dyDescent="0.3">
      <c r="A19" s="94" t="s">
        <v>292</v>
      </c>
    </row>
    <row r="20" spans="1:5" x14ac:dyDescent="0.3">
      <c r="A20" s="83" t="s">
        <v>293</v>
      </c>
      <c r="B20" s="83" t="s">
        <v>294</v>
      </c>
      <c r="C20" s="83" t="s">
        <v>295</v>
      </c>
      <c r="D20" s="83"/>
      <c r="E20" s="83" t="s">
        <v>296</v>
      </c>
    </row>
    <row r="21" spans="1:5" x14ac:dyDescent="0.3">
      <c r="A21" s="95" t="s">
        <v>297</v>
      </c>
      <c r="B21" s="96">
        <v>1</v>
      </c>
      <c r="C21" s="96">
        <v>1</v>
      </c>
      <c r="D21" s="86"/>
      <c r="E21" s="87" t="s">
        <v>298</v>
      </c>
    </row>
    <row r="22" spans="1:5" x14ac:dyDescent="0.3">
      <c r="A22" s="95" t="s">
        <v>299</v>
      </c>
      <c r="B22" s="96">
        <v>1</v>
      </c>
      <c r="C22" s="96">
        <v>1</v>
      </c>
      <c r="D22" s="86"/>
      <c r="E22" s="87"/>
    </row>
    <row r="23" spans="1:5" x14ac:dyDescent="0.3">
      <c r="A23" s="95" t="s">
        <v>300</v>
      </c>
      <c r="B23" s="96">
        <v>1</v>
      </c>
      <c r="C23" s="96">
        <v>2</v>
      </c>
      <c r="D23" s="86"/>
      <c r="E23" s="87" t="s">
        <v>301</v>
      </c>
    </row>
    <row r="25" spans="1:5" x14ac:dyDescent="0.3">
      <c r="A25" s="82" t="s">
        <v>302</v>
      </c>
    </row>
    <row r="28" spans="1:5" x14ac:dyDescent="0.3">
      <c r="A28" s="94" t="s">
        <v>303</v>
      </c>
    </row>
    <row r="29" spans="1:5" x14ac:dyDescent="0.3">
      <c r="A29" s="82" t="s">
        <v>304</v>
      </c>
    </row>
    <row r="30" spans="1:5" x14ac:dyDescent="0.3">
      <c r="A30" s="83" t="s">
        <v>305</v>
      </c>
      <c r="B30" s="83" t="s">
        <v>306</v>
      </c>
      <c r="C30" s="83" t="s">
        <v>307</v>
      </c>
      <c r="D30" s="83"/>
      <c r="E30" s="83" t="s">
        <v>308</v>
      </c>
    </row>
    <row r="31" spans="1:5" x14ac:dyDescent="0.3">
      <c r="A31" s="84" t="s">
        <v>309</v>
      </c>
      <c r="B31" s="86" t="s">
        <v>310</v>
      </c>
      <c r="C31" s="97" t="s">
        <v>311</v>
      </c>
      <c r="D31" s="86"/>
      <c r="E31" s="87" t="s">
        <v>312</v>
      </c>
    </row>
    <row r="32" spans="1:5" x14ac:dyDescent="0.3">
      <c r="A32" s="84" t="s">
        <v>313</v>
      </c>
      <c r="B32" s="86" t="s">
        <v>310</v>
      </c>
      <c r="C32" s="97" t="s">
        <v>311</v>
      </c>
      <c r="D32" s="86"/>
      <c r="E32" s="87" t="s">
        <v>312</v>
      </c>
    </row>
    <row r="33" spans="1:5" x14ac:dyDescent="0.3">
      <c r="A33" s="84" t="s">
        <v>314</v>
      </c>
      <c r="B33" s="86" t="s">
        <v>315</v>
      </c>
      <c r="C33" s="97" t="s">
        <v>316</v>
      </c>
      <c r="D33" s="86"/>
      <c r="E33" s="87" t="s">
        <v>317</v>
      </c>
    </row>
    <row r="34" spans="1:5" x14ac:dyDescent="0.3">
      <c r="A34" s="84" t="s">
        <v>318</v>
      </c>
      <c r="B34" s="86" t="s">
        <v>315</v>
      </c>
      <c r="C34" s="97" t="s">
        <v>316</v>
      </c>
      <c r="D34" s="86"/>
      <c r="E34" s="87" t="s">
        <v>317</v>
      </c>
    </row>
    <row r="35" spans="1:5" x14ac:dyDescent="0.3">
      <c r="A35" s="84" t="s">
        <v>319</v>
      </c>
      <c r="B35" s="86" t="s">
        <v>315</v>
      </c>
      <c r="C35" s="97" t="s">
        <v>320</v>
      </c>
      <c r="D35" s="86"/>
      <c r="E35" s="87" t="s">
        <v>321</v>
      </c>
    </row>
    <row r="36" spans="1:5" x14ac:dyDescent="0.3">
      <c r="A36" s="84" t="s">
        <v>322</v>
      </c>
      <c r="B36" s="86" t="s">
        <v>323</v>
      </c>
      <c r="C36" s="97" t="s">
        <v>311</v>
      </c>
      <c r="D36" s="86"/>
      <c r="E36" s="87" t="s">
        <v>324</v>
      </c>
    </row>
    <row r="38" spans="1:5" x14ac:dyDescent="0.3">
      <c r="A38" s="82" t="s">
        <v>325</v>
      </c>
    </row>
    <row r="42" spans="1:5" x14ac:dyDescent="0.3">
      <c r="A42" s="94" t="s">
        <v>326</v>
      </c>
    </row>
    <row r="43" spans="1:5" x14ac:dyDescent="0.3">
      <c r="A43" s="98" t="s">
        <v>327</v>
      </c>
    </row>
    <row r="44" spans="1:5" x14ac:dyDescent="0.3">
      <c r="A44" s="98" t="s">
        <v>328</v>
      </c>
    </row>
    <row r="45" spans="1:5" x14ac:dyDescent="0.3">
      <c r="A45" s="98" t="s">
        <v>329</v>
      </c>
    </row>
    <row r="46" spans="1:5" x14ac:dyDescent="0.3">
      <c r="A46" s="98" t="s">
        <v>330</v>
      </c>
    </row>
  </sheetData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6" customWidth="1"/>
    <col min="2" max="2" width="7" customWidth="1"/>
    <col min="3" max="3" width="8" customWidth="1"/>
    <col min="4" max="4" width="10" customWidth="1"/>
    <col min="5" max="5" width="18" customWidth="1"/>
    <col min="6" max="6" width="44" customWidth="1"/>
    <col min="7" max="7" width="13" customWidth="1"/>
    <col min="8" max="8" width="34" customWidth="1"/>
  </cols>
  <sheetData>
    <row r="1" spans="1:8" ht="20.25" x14ac:dyDescent="0.35">
      <c r="A1" s="81" t="s">
        <v>331</v>
      </c>
    </row>
    <row r="2" spans="1:8" x14ac:dyDescent="0.3">
      <c r="A2" s="82" t="s">
        <v>332</v>
      </c>
    </row>
    <row r="4" spans="1:8" x14ac:dyDescent="0.3">
      <c r="A4" s="83" t="s">
        <v>333</v>
      </c>
      <c r="B4" s="83" t="s">
        <v>2</v>
      </c>
      <c r="C4" s="83" t="s">
        <v>334</v>
      </c>
      <c r="D4" s="83" t="s">
        <v>306</v>
      </c>
      <c r="E4" s="83" t="s">
        <v>335</v>
      </c>
      <c r="F4" s="83" t="s">
        <v>336</v>
      </c>
      <c r="G4" s="83" t="s">
        <v>337</v>
      </c>
      <c r="H4" s="83" t="s">
        <v>338</v>
      </c>
    </row>
    <row r="5" spans="1:8" ht="27" x14ac:dyDescent="0.3">
      <c r="A5" s="99" t="s">
        <v>339</v>
      </c>
      <c r="B5" s="86" t="s">
        <v>8</v>
      </c>
      <c r="C5" s="86" t="s">
        <v>181</v>
      </c>
      <c r="D5" s="86" t="s">
        <v>266</v>
      </c>
      <c r="E5" s="97" t="s">
        <v>340</v>
      </c>
      <c r="F5" s="87" t="s">
        <v>341</v>
      </c>
      <c r="G5" s="86" t="s">
        <v>342</v>
      </c>
      <c r="H5" s="84" t="s">
        <v>343</v>
      </c>
    </row>
    <row r="6" spans="1:8" ht="27" x14ac:dyDescent="0.3">
      <c r="A6" s="99" t="s">
        <v>344</v>
      </c>
      <c r="B6" s="86" t="s">
        <v>8</v>
      </c>
      <c r="C6" s="86" t="s">
        <v>181</v>
      </c>
      <c r="D6" s="86" t="s">
        <v>267</v>
      </c>
      <c r="E6" s="97" t="s">
        <v>345</v>
      </c>
      <c r="F6" s="87" t="s">
        <v>346</v>
      </c>
      <c r="G6" s="86" t="s">
        <v>182</v>
      </c>
      <c r="H6" s="84" t="s">
        <v>347</v>
      </c>
    </row>
    <row r="7" spans="1:8" ht="27" x14ac:dyDescent="0.3">
      <c r="A7" s="99" t="s">
        <v>348</v>
      </c>
      <c r="B7" s="86" t="s">
        <v>8</v>
      </c>
      <c r="C7" s="86" t="s">
        <v>183</v>
      </c>
      <c r="D7" s="86" t="s">
        <v>266</v>
      </c>
      <c r="E7" s="97" t="s">
        <v>349</v>
      </c>
      <c r="F7" s="87" t="s">
        <v>350</v>
      </c>
      <c r="G7" s="86" t="s">
        <v>351</v>
      </c>
      <c r="H7" s="84" t="s">
        <v>343</v>
      </c>
    </row>
    <row r="8" spans="1:8" ht="27" x14ac:dyDescent="0.3">
      <c r="A8" s="99" t="s">
        <v>352</v>
      </c>
      <c r="B8" s="86" t="s">
        <v>8</v>
      </c>
      <c r="C8" s="86" t="s">
        <v>183</v>
      </c>
      <c r="D8" s="86" t="s">
        <v>267</v>
      </c>
      <c r="E8" s="97" t="s">
        <v>353</v>
      </c>
      <c r="F8" s="87" t="s">
        <v>354</v>
      </c>
      <c r="G8" s="86" t="s">
        <v>137</v>
      </c>
      <c r="H8" s="84" t="s">
        <v>347</v>
      </c>
    </row>
    <row r="9" spans="1:8" ht="27" x14ac:dyDescent="0.3">
      <c r="A9" s="100" t="s">
        <v>355</v>
      </c>
      <c r="B9" s="101" t="s">
        <v>9</v>
      </c>
      <c r="C9" s="101" t="s">
        <v>185</v>
      </c>
      <c r="D9" s="101" t="s">
        <v>266</v>
      </c>
      <c r="E9" s="102" t="s">
        <v>356</v>
      </c>
      <c r="F9" s="103" t="s">
        <v>357</v>
      </c>
      <c r="G9" s="101" t="s">
        <v>358</v>
      </c>
      <c r="H9" s="104" t="s">
        <v>343</v>
      </c>
    </row>
    <row r="10" spans="1:8" ht="27" x14ac:dyDescent="0.3">
      <c r="A10" s="100" t="s">
        <v>359</v>
      </c>
      <c r="B10" s="101" t="s">
        <v>9</v>
      </c>
      <c r="C10" s="101" t="s">
        <v>185</v>
      </c>
      <c r="D10" s="101" t="s">
        <v>267</v>
      </c>
      <c r="E10" s="102" t="s">
        <v>360</v>
      </c>
      <c r="F10" s="103" t="s">
        <v>361</v>
      </c>
      <c r="G10" s="101" t="s">
        <v>187</v>
      </c>
      <c r="H10" s="104" t="s">
        <v>347</v>
      </c>
    </row>
    <row r="11" spans="1:8" ht="27" x14ac:dyDescent="0.3">
      <c r="A11" s="100" t="s">
        <v>362</v>
      </c>
      <c r="B11" s="101" t="s">
        <v>9</v>
      </c>
      <c r="C11" s="101" t="s">
        <v>188</v>
      </c>
      <c r="D11" s="101" t="s">
        <v>266</v>
      </c>
      <c r="E11" s="102" t="s">
        <v>363</v>
      </c>
      <c r="F11" s="103" t="s">
        <v>364</v>
      </c>
      <c r="G11" s="101" t="s">
        <v>365</v>
      </c>
      <c r="H11" s="104" t="s">
        <v>343</v>
      </c>
    </row>
    <row r="12" spans="1:8" ht="27" x14ac:dyDescent="0.3">
      <c r="A12" s="100" t="s">
        <v>366</v>
      </c>
      <c r="B12" s="101" t="s">
        <v>9</v>
      </c>
      <c r="C12" s="101" t="s">
        <v>188</v>
      </c>
      <c r="D12" s="101" t="s">
        <v>267</v>
      </c>
      <c r="E12" s="102" t="s">
        <v>367</v>
      </c>
      <c r="F12" s="103" t="s">
        <v>368</v>
      </c>
      <c r="G12" s="101" t="s">
        <v>190</v>
      </c>
      <c r="H12" s="104" t="s">
        <v>347</v>
      </c>
    </row>
    <row r="13" spans="1:8" ht="27" x14ac:dyDescent="0.3">
      <c r="A13" s="99" t="s">
        <v>369</v>
      </c>
      <c r="B13" s="86" t="s">
        <v>10</v>
      </c>
      <c r="C13" s="86" t="s">
        <v>191</v>
      </c>
      <c r="D13" s="86" t="s">
        <v>266</v>
      </c>
      <c r="E13" s="97" t="s">
        <v>370</v>
      </c>
      <c r="F13" s="87" t="s">
        <v>371</v>
      </c>
      <c r="G13" s="86" t="s">
        <v>372</v>
      </c>
      <c r="H13" s="84" t="s">
        <v>343</v>
      </c>
    </row>
    <row r="14" spans="1:8" ht="27" x14ac:dyDescent="0.3">
      <c r="A14" s="99" t="s">
        <v>373</v>
      </c>
      <c r="B14" s="86" t="s">
        <v>10</v>
      </c>
      <c r="C14" s="86" t="s">
        <v>191</v>
      </c>
      <c r="D14" s="86" t="s">
        <v>267</v>
      </c>
      <c r="E14" s="97" t="s">
        <v>374</v>
      </c>
      <c r="F14" s="87" t="s">
        <v>375</v>
      </c>
      <c r="G14" s="86" t="s">
        <v>193</v>
      </c>
      <c r="H14" s="84" t="s">
        <v>347</v>
      </c>
    </row>
    <row r="15" spans="1:8" ht="27" x14ac:dyDescent="0.3">
      <c r="A15" s="99" t="s">
        <v>376</v>
      </c>
      <c r="B15" s="86" t="s">
        <v>10</v>
      </c>
      <c r="C15" s="86" t="s">
        <v>194</v>
      </c>
      <c r="D15" s="86" t="s">
        <v>266</v>
      </c>
      <c r="E15" s="97" t="s">
        <v>377</v>
      </c>
      <c r="F15" s="87" t="s">
        <v>378</v>
      </c>
      <c r="G15" s="86" t="s">
        <v>379</v>
      </c>
      <c r="H15" s="84" t="s">
        <v>343</v>
      </c>
    </row>
    <row r="16" spans="1:8" ht="27" x14ac:dyDescent="0.3">
      <c r="A16" s="99" t="s">
        <v>380</v>
      </c>
      <c r="B16" s="86" t="s">
        <v>10</v>
      </c>
      <c r="C16" s="86" t="s">
        <v>194</v>
      </c>
      <c r="D16" s="86" t="s">
        <v>267</v>
      </c>
      <c r="E16" s="97" t="s">
        <v>381</v>
      </c>
      <c r="F16" s="87" t="s">
        <v>382</v>
      </c>
      <c r="G16" s="86" t="s">
        <v>139</v>
      </c>
      <c r="H16" s="84" t="s">
        <v>347</v>
      </c>
    </row>
    <row r="17" spans="1:8" ht="27" x14ac:dyDescent="0.3">
      <c r="A17" s="100" t="s">
        <v>383</v>
      </c>
      <c r="B17" s="101" t="s">
        <v>11</v>
      </c>
      <c r="C17" s="101" t="s">
        <v>196</v>
      </c>
      <c r="D17" s="101" t="s">
        <v>266</v>
      </c>
      <c r="E17" s="102" t="s">
        <v>384</v>
      </c>
      <c r="F17" s="103" t="s">
        <v>385</v>
      </c>
      <c r="G17" s="101" t="s">
        <v>386</v>
      </c>
      <c r="H17" s="104" t="s">
        <v>343</v>
      </c>
    </row>
    <row r="18" spans="1:8" ht="27" x14ac:dyDescent="0.3">
      <c r="A18" s="100" t="s">
        <v>387</v>
      </c>
      <c r="B18" s="101" t="s">
        <v>11</v>
      </c>
      <c r="C18" s="101" t="s">
        <v>196</v>
      </c>
      <c r="D18" s="101" t="s">
        <v>267</v>
      </c>
      <c r="E18" s="102" t="s">
        <v>388</v>
      </c>
      <c r="F18" s="103" t="s">
        <v>389</v>
      </c>
      <c r="G18" s="101" t="s">
        <v>198</v>
      </c>
      <c r="H18" s="104" t="s">
        <v>347</v>
      </c>
    </row>
    <row r="19" spans="1:8" ht="27" x14ac:dyDescent="0.3">
      <c r="A19" s="100" t="s">
        <v>390</v>
      </c>
      <c r="B19" s="101" t="s">
        <v>11</v>
      </c>
      <c r="C19" s="101" t="s">
        <v>199</v>
      </c>
      <c r="D19" s="101" t="s">
        <v>266</v>
      </c>
      <c r="E19" s="102" t="s">
        <v>391</v>
      </c>
      <c r="F19" s="103" t="s">
        <v>392</v>
      </c>
      <c r="G19" s="101" t="s">
        <v>393</v>
      </c>
      <c r="H19" s="104" t="s">
        <v>343</v>
      </c>
    </row>
    <row r="20" spans="1:8" ht="27" x14ac:dyDescent="0.3">
      <c r="A20" s="100" t="s">
        <v>394</v>
      </c>
      <c r="B20" s="101" t="s">
        <v>11</v>
      </c>
      <c r="C20" s="101" t="s">
        <v>199</v>
      </c>
      <c r="D20" s="101" t="s">
        <v>267</v>
      </c>
      <c r="E20" s="102" t="s">
        <v>395</v>
      </c>
      <c r="F20" s="103" t="s">
        <v>396</v>
      </c>
      <c r="G20" s="101" t="s">
        <v>201</v>
      </c>
      <c r="H20" s="104" t="s">
        <v>347</v>
      </c>
    </row>
    <row r="21" spans="1:8" ht="27" x14ac:dyDescent="0.3">
      <c r="A21" s="99" t="s">
        <v>397</v>
      </c>
      <c r="B21" s="86" t="s">
        <v>12</v>
      </c>
      <c r="C21" s="86" t="s">
        <v>199</v>
      </c>
      <c r="D21" s="86" t="s">
        <v>266</v>
      </c>
      <c r="E21" s="97" t="s">
        <v>398</v>
      </c>
      <c r="F21" s="87" t="s">
        <v>399</v>
      </c>
      <c r="G21" s="86" t="s">
        <v>400</v>
      </c>
      <c r="H21" s="84" t="s">
        <v>343</v>
      </c>
    </row>
    <row r="22" spans="1:8" ht="27" x14ac:dyDescent="0.3">
      <c r="A22" s="99" t="s">
        <v>401</v>
      </c>
      <c r="B22" s="86" t="s">
        <v>12</v>
      </c>
      <c r="C22" s="86" t="s">
        <v>199</v>
      </c>
      <c r="D22" s="86" t="s">
        <v>267</v>
      </c>
      <c r="E22" s="97" t="s">
        <v>402</v>
      </c>
      <c r="F22" s="87" t="s">
        <v>403</v>
      </c>
      <c r="G22" s="86" t="s">
        <v>203</v>
      </c>
      <c r="H22" s="84" t="s">
        <v>347</v>
      </c>
    </row>
    <row r="23" spans="1:8" ht="27" x14ac:dyDescent="0.3">
      <c r="A23" s="99" t="s">
        <v>404</v>
      </c>
      <c r="B23" s="86" t="s">
        <v>12</v>
      </c>
      <c r="C23" s="86" t="s">
        <v>204</v>
      </c>
      <c r="D23" s="86" t="s">
        <v>266</v>
      </c>
      <c r="E23" s="97" t="s">
        <v>405</v>
      </c>
      <c r="F23" s="87" t="s">
        <v>406</v>
      </c>
      <c r="G23" s="86" t="s">
        <v>407</v>
      </c>
      <c r="H23" s="84" t="s">
        <v>343</v>
      </c>
    </row>
    <row r="24" spans="1:8" ht="27" x14ac:dyDescent="0.3">
      <c r="A24" s="99" t="s">
        <v>408</v>
      </c>
      <c r="B24" s="86" t="s">
        <v>12</v>
      </c>
      <c r="C24" s="86" t="s">
        <v>204</v>
      </c>
      <c r="D24" s="86" t="s">
        <v>267</v>
      </c>
      <c r="E24" s="97" t="s">
        <v>409</v>
      </c>
      <c r="F24" s="87" t="s">
        <v>410</v>
      </c>
      <c r="G24" s="86" t="s">
        <v>141</v>
      </c>
      <c r="H24" s="84" t="s">
        <v>347</v>
      </c>
    </row>
    <row r="25" spans="1:8" ht="27" x14ac:dyDescent="0.3">
      <c r="A25" s="100" t="s">
        <v>411</v>
      </c>
      <c r="B25" s="101" t="s">
        <v>13</v>
      </c>
      <c r="C25" s="101" t="s">
        <v>206</v>
      </c>
      <c r="D25" s="101" t="s">
        <v>266</v>
      </c>
      <c r="E25" s="102" t="s">
        <v>412</v>
      </c>
      <c r="F25" s="103" t="s">
        <v>413</v>
      </c>
      <c r="G25" s="101" t="s">
        <v>414</v>
      </c>
      <c r="H25" s="104" t="s">
        <v>343</v>
      </c>
    </row>
    <row r="26" spans="1:8" ht="27" x14ac:dyDescent="0.3">
      <c r="A26" s="100" t="s">
        <v>415</v>
      </c>
      <c r="B26" s="101" t="s">
        <v>13</v>
      </c>
      <c r="C26" s="101" t="s">
        <v>206</v>
      </c>
      <c r="D26" s="101" t="s">
        <v>267</v>
      </c>
      <c r="E26" s="102" t="s">
        <v>416</v>
      </c>
      <c r="F26" s="103" t="s">
        <v>417</v>
      </c>
      <c r="G26" s="101" t="s">
        <v>208</v>
      </c>
      <c r="H26" s="104" t="s">
        <v>347</v>
      </c>
    </row>
    <row r="27" spans="1:8" ht="27" x14ac:dyDescent="0.3">
      <c r="A27" s="100" t="s">
        <v>418</v>
      </c>
      <c r="B27" s="101" t="s">
        <v>13</v>
      </c>
      <c r="C27" s="101" t="s">
        <v>209</v>
      </c>
      <c r="D27" s="101" t="s">
        <v>266</v>
      </c>
      <c r="E27" s="102" t="s">
        <v>419</v>
      </c>
      <c r="F27" s="103" t="s">
        <v>420</v>
      </c>
      <c r="G27" s="101" t="s">
        <v>421</v>
      </c>
      <c r="H27" s="104" t="s">
        <v>343</v>
      </c>
    </row>
    <row r="28" spans="1:8" ht="27" x14ac:dyDescent="0.3">
      <c r="A28" s="100" t="s">
        <v>422</v>
      </c>
      <c r="B28" s="101" t="s">
        <v>13</v>
      </c>
      <c r="C28" s="101" t="s">
        <v>209</v>
      </c>
      <c r="D28" s="101" t="s">
        <v>267</v>
      </c>
      <c r="E28" s="102" t="s">
        <v>423</v>
      </c>
      <c r="F28" s="103" t="s">
        <v>424</v>
      </c>
      <c r="G28" s="101" t="s">
        <v>211</v>
      </c>
      <c r="H28" s="104" t="s">
        <v>347</v>
      </c>
    </row>
    <row r="29" spans="1:8" ht="27" x14ac:dyDescent="0.3">
      <c r="A29" s="99" t="s">
        <v>425</v>
      </c>
      <c r="B29" s="86" t="s">
        <v>14</v>
      </c>
      <c r="C29" s="86" t="s">
        <v>212</v>
      </c>
      <c r="D29" s="86" t="s">
        <v>266</v>
      </c>
      <c r="E29" s="97" t="s">
        <v>426</v>
      </c>
      <c r="F29" s="87" t="s">
        <v>427</v>
      </c>
      <c r="G29" s="86" t="s">
        <v>428</v>
      </c>
      <c r="H29" s="84" t="s">
        <v>343</v>
      </c>
    </row>
    <row r="30" spans="1:8" ht="27" x14ac:dyDescent="0.3">
      <c r="A30" s="99" t="s">
        <v>429</v>
      </c>
      <c r="B30" s="86" t="s">
        <v>14</v>
      </c>
      <c r="C30" s="86" t="s">
        <v>212</v>
      </c>
      <c r="D30" s="86" t="s">
        <v>267</v>
      </c>
      <c r="E30" s="97" t="s">
        <v>430</v>
      </c>
      <c r="F30" s="87" t="s">
        <v>431</v>
      </c>
      <c r="G30" s="86" t="s">
        <v>214</v>
      </c>
      <c r="H30" s="84" t="s">
        <v>347</v>
      </c>
    </row>
    <row r="31" spans="1:8" ht="27" x14ac:dyDescent="0.3">
      <c r="A31" s="99" t="s">
        <v>432</v>
      </c>
      <c r="B31" s="86" t="s">
        <v>14</v>
      </c>
      <c r="C31" s="86" t="s">
        <v>215</v>
      </c>
      <c r="D31" s="86" t="s">
        <v>266</v>
      </c>
      <c r="E31" s="97" t="s">
        <v>433</v>
      </c>
      <c r="F31" s="87" t="s">
        <v>434</v>
      </c>
      <c r="G31" s="86" t="s">
        <v>435</v>
      </c>
      <c r="H31" s="84" t="s">
        <v>343</v>
      </c>
    </row>
    <row r="32" spans="1:8" ht="27" x14ac:dyDescent="0.3">
      <c r="A32" s="99" t="s">
        <v>436</v>
      </c>
      <c r="B32" s="86" t="s">
        <v>14</v>
      </c>
      <c r="C32" s="86" t="s">
        <v>215</v>
      </c>
      <c r="D32" s="86" t="s">
        <v>267</v>
      </c>
      <c r="E32" s="97" t="s">
        <v>437</v>
      </c>
      <c r="F32" s="87" t="s">
        <v>438</v>
      </c>
      <c r="G32" s="86" t="s">
        <v>143</v>
      </c>
      <c r="H32" s="84" t="s">
        <v>347</v>
      </c>
    </row>
  </sheetData>
  <phoneticPr fontId="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33"/>
  <sheetViews>
    <sheetView workbookViewId="0">
      <pane xSplit="6" ySplit="4" topLeftCell="G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6" customWidth="1"/>
    <col min="2" max="2" width="7" customWidth="1"/>
    <col min="3" max="3" width="8" customWidth="1"/>
    <col min="4" max="4" width="5" customWidth="1"/>
    <col min="5" max="5" width="6" customWidth="1"/>
    <col min="6" max="6" width="8" customWidth="1"/>
    <col min="7" max="7" width="16" customWidth="1"/>
    <col min="8" max="8" width="6" customWidth="1"/>
    <col min="9" max="9" width="8" customWidth="1"/>
    <col min="10" max="11" width="7" customWidth="1"/>
    <col min="12" max="12" width="9" customWidth="1"/>
    <col min="13" max="13" width="16" customWidth="1"/>
    <col min="14" max="14" width="6" customWidth="1"/>
    <col min="15" max="15" width="8" customWidth="1"/>
    <col min="16" max="17" width="7" customWidth="1"/>
    <col min="18" max="18" width="9" customWidth="1"/>
    <col min="19" max="19" width="10" customWidth="1"/>
    <col min="20" max="20" width="11" customWidth="1"/>
    <col min="21" max="21" width="10" customWidth="1"/>
    <col min="22" max="22" width="11" customWidth="1"/>
    <col min="23" max="23" width="8" customWidth="1"/>
    <col min="24" max="25" width="11" customWidth="1"/>
    <col min="26" max="26" width="7" customWidth="1"/>
    <col min="27" max="27" width="8" customWidth="1"/>
    <col min="28" max="28" width="9" customWidth="1"/>
    <col min="29" max="29" width="8" customWidth="1"/>
    <col min="30" max="30" width="9" customWidth="1"/>
  </cols>
  <sheetData>
    <row r="1" spans="1:30" ht="20.25" x14ac:dyDescent="0.35">
      <c r="A1" s="81" t="s">
        <v>439</v>
      </c>
    </row>
    <row r="2" spans="1:30" x14ac:dyDescent="0.3">
      <c r="A2" s="82" t="s">
        <v>440</v>
      </c>
    </row>
    <row r="3" spans="1:30" x14ac:dyDescent="0.3">
      <c r="A3" s="139" t="s">
        <v>80</v>
      </c>
      <c r="B3" s="128"/>
      <c r="C3" s="128"/>
      <c r="D3" s="128"/>
      <c r="E3" s="128"/>
      <c r="F3" s="128"/>
      <c r="G3" s="139" t="s">
        <v>266</v>
      </c>
      <c r="H3" s="128"/>
      <c r="I3" s="128"/>
      <c r="J3" s="128"/>
      <c r="K3" s="128"/>
      <c r="L3" s="128"/>
      <c r="M3" s="139" t="s">
        <v>267</v>
      </c>
      <c r="N3" s="128"/>
      <c r="O3" s="128"/>
      <c r="P3" s="128"/>
      <c r="Q3" s="128"/>
      <c r="R3" s="128"/>
      <c r="S3" s="105" t="s">
        <v>441</v>
      </c>
      <c r="T3" s="139" t="s">
        <v>442</v>
      </c>
      <c r="U3" s="128"/>
      <c r="V3" s="128"/>
      <c r="W3" s="128"/>
      <c r="X3" s="139" t="s">
        <v>443</v>
      </c>
      <c r="Y3" s="128"/>
      <c r="Z3" s="128"/>
      <c r="AA3" s="139" t="s">
        <v>444</v>
      </c>
      <c r="AB3" s="128"/>
      <c r="AC3" s="128"/>
      <c r="AD3" s="128"/>
    </row>
    <row r="4" spans="1:30" ht="40.5" x14ac:dyDescent="0.3">
      <c r="A4" s="83" t="s">
        <v>2</v>
      </c>
      <c r="B4" s="83" t="s">
        <v>334</v>
      </c>
      <c r="C4" s="83" t="s">
        <v>80</v>
      </c>
      <c r="D4" s="83" t="s">
        <v>219</v>
      </c>
      <c r="E4" s="83" t="s">
        <v>220</v>
      </c>
      <c r="F4" s="83" t="s">
        <v>81</v>
      </c>
      <c r="G4" s="83" t="s">
        <v>335</v>
      </c>
      <c r="H4" s="83" t="s">
        <v>445</v>
      </c>
      <c r="I4" s="83" t="s">
        <v>446</v>
      </c>
      <c r="J4" s="83" t="s">
        <v>447</v>
      </c>
      <c r="K4" s="83" t="s">
        <v>448</v>
      </c>
      <c r="L4" s="83" t="s">
        <v>449</v>
      </c>
      <c r="M4" s="83" t="s">
        <v>335</v>
      </c>
      <c r="N4" s="83" t="s">
        <v>445</v>
      </c>
      <c r="O4" s="83" t="s">
        <v>446</v>
      </c>
      <c r="P4" s="83" t="s">
        <v>447</v>
      </c>
      <c r="Q4" s="83" t="s">
        <v>448</v>
      </c>
      <c r="R4" s="83" t="s">
        <v>449</v>
      </c>
      <c r="S4" s="83" t="s">
        <v>450</v>
      </c>
      <c r="T4" s="83" t="s">
        <v>451</v>
      </c>
      <c r="U4" s="83" t="s">
        <v>452</v>
      </c>
      <c r="V4" s="83" t="s">
        <v>453</v>
      </c>
      <c r="W4" s="83" t="s">
        <v>454</v>
      </c>
      <c r="X4" s="83" t="s">
        <v>455</v>
      </c>
      <c r="Y4" s="83" t="s">
        <v>456</v>
      </c>
      <c r="Z4" s="83" t="s">
        <v>457</v>
      </c>
      <c r="AA4" s="83" t="s">
        <v>458</v>
      </c>
      <c r="AB4" s="83" t="s">
        <v>459</v>
      </c>
      <c r="AC4" s="83" t="s">
        <v>460</v>
      </c>
      <c r="AD4" s="83" t="s">
        <v>461</v>
      </c>
    </row>
    <row r="5" spans="1:30" x14ac:dyDescent="0.3">
      <c r="A5" s="106" t="str">
        <f>'스테이지별 골드'!A5</f>
        <v>원시</v>
      </c>
      <c r="B5" s="106" t="str">
        <f>'스테이지별 골드'!B5</f>
        <v>공룡</v>
      </c>
      <c r="C5" s="106" t="str">
        <f>'스테이지별 골드'!C5</f>
        <v>1-1</v>
      </c>
      <c r="D5" s="107">
        <f t="shared" ref="D5:D32" si="0">ROW()-4</f>
        <v>1</v>
      </c>
      <c r="E5" s="107">
        <f t="shared" ref="E5:E32" si="1">INT((D5-1)/4)+1</f>
        <v>1</v>
      </c>
      <c r="F5" s="106" t="str">
        <f>'허들 설계'!F5</f>
        <v>튜토리얼</v>
      </c>
      <c r="G5" s="107" t="str">
        <f>IFERROR(INDEX('공중 유닛 목록'!$E$5:$E$32,MATCH(A5&amp;"|"&amp;B5&amp;"|1",'공중 유닛 목록'!$A$5:$A$32,0)),"")</f>
        <v>볏 익룡</v>
      </c>
      <c r="H5" s="107">
        <f>IF(MOD(D5,2)=1,COUNTIF('공중 유닛 설정'!$B$21:$B$23,1),COUNTIF('공중 유닛 설정'!$C$21:$C$23,1))</f>
        <v>3</v>
      </c>
      <c r="I5" s="107">
        <f>ROUND('스테이지별 골드'!G5*'공중 유닛 설정'!$B$5,0)</f>
        <v>60</v>
      </c>
      <c r="J5" s="107">
        <f>ROUND(S5*'공중 유닛 설정'!$B$6,0)</f>
        <v>3</v>
      </c>
      <c r="K5" s="108">
        <f>'공중 유닛 설정'!$B$7</f>
        <v>0.5</v>
      </c>
      <c r="L5" s="107">
        <f>ROUND('스테이지별 골드'!J5+('스테이지별 골드'!K5-'스테이지별 골드'!J5)*'공중 유닛 설정'!$B$8,0)</f>
        <v>12</v>
      </c>
      <c r="M5" s="107" t="str">
        <f>IFERROR(INDEX('공중 유닛 목록'!$E$5:$E$32,MATCH(A5&amp;"|"&amp;B5&amp;"|2",'공중 유닛 목록'!$A$5:$A$32,0)),"")</f>
        <v>깃털 활공룡</v>
      </c>
      <c r="N5" s="107">
        <f>IF(MOD(D5,2)=1,COUNTIF('공중 유닛 설정'!$B$21:$B$23,2),COUNTIF('공중 유닛 설정'!$C$21:$C$23,2))</f>
        <v>0</v>
      </c>
      <c r="O5" s="107">
        <f>ROUND('스테이지별 골드'!H5*'공중 유닛 설정'!$C$5,0)</f>
        <v>104</v>
      </c>
      <c r="P5" s="107">
        <f>ROUND(S5*'공중 유닛 설정'!$C$6,0)</f>
        <v>4</v>
      </c>
      <c r="Q5" s="108">
        <f>'공중 유닛 설정'!$C$7</f>
        <v>0.5</v>
      </c>
      <c r="R5" s="107">
        <f>ROUND('스테이지별 골드'!J5+('스테이지별 골드'!K5-'스테이지별 골드'!J5)*'공중 유닛 설정'!$C$8,0)</f>
        <v>14</v>
      </c>
      <c r="S5" s="109">
        <v>5</v>
      </c>
      <c r="T5" s="110">
        <f t="shared" ref="T5:T32" si="2">H5*L5+N5*R5</f>
        <v>36</v>
      </c>
      <c r="U5" s="107">
        <f>H5*L5*'공중 유닛 설정'!$B$10+N5*R5*'공중 유닛 설정'!$C$10</f>
        <v>21.599999999999998</v>
      </c>
      <c r="V5" s="106">
        <f>'스테이지별 골드'!M5</f>
        <v>106</v>
      </c>
      <c r="W5" s="111">
        <f t="shared" ref="W5:W33" si="3">IF(V5=0,0,T5/V5)</f>
        <v>0.33962264150943394</v>
      </c>
      <c r="X5" s="106">
        <f>'허들 설계'!O5</f>
        <v>244</v>
      </c>
      <c r="Y5" s="110">
        <f t="shared" ref="Y5:Y32" si="4">X5+U5</f>
        <v>265.60000000000002</v>
      </c>
      <c r="Z5" s="111">
        <f t="shared" ref="Z5:Z33" si="5">IF(X5=0,0,Y5/X5-1)</f>
        <v>8.8524590163934436E-2</v>
      </c>
      <c r="AA5" s="106">
        <f>'공중 유닛 드랍'!V5</f>
        <v>8</v>
      </c>
      <c r="AB5" s="106" t="str">
        <f>'공중 유닛 드랍'!Y5</f>
        <v>금 코인</v>
      </c>
      <c r="AC5" s="106" t="str">
        <f>IF(N5=0,"-",'공중 유닛 드랍'!V33)</f>
        <v>-</v>
      </c>
      <c r="AD5" s="106" t="str">
        <f>IF(N5=0,"-",'공중 유닛 드랍'!Y33)</f>
        <v>-</v>
      </c>
    </row>
    <row r="6" spans="1:30" x14ac:dyDescent="0.3">
      <c r="A6" s="106" t="str">
        <f>'스테이지별 골드'!A6</f>
        <v>원시</v>
      </c>
      <c r="B6" s="106" t="str">
        <f>'스테이지별 골드'!B6</f>
        <v>공룡</v>
      </c>
      <c r="C6" s="106" t="str">
        <f>'스테이지별 골드'!C6</f>
        <v>1-2</v>
      </c>
      <c r="D6" s="107">
        <f t="shared" si="0"/>
        <v>2</v>
      </c>
      <c r="E6" s="107">
        <f t="shared" si="1"/>
        <v>1</v>
      </c>
      <c r="F6" s="106" t="str">
        <f>'허들 설계'!F6</f>
        <v>소허들</v>
      </c>
      <c r="G6" s="107" t="str">
        <f>IFERROR(INDEX('공중 유닛 목록'!$E$5:$E$32,MATCH(A6&amp;"|"&amp;B6&amp;"|1",'공중 유닛 목록'!$A$5:$A$32,0)),"")</f>
        <v>볏 익룡</v>
      </c>
      <c r="H6" s="107">
        <f>IF(MOD(D6,2)=1,COUNTIF('공중 유닛 설정'!$B$21:$B$23,1),COUNTIF('공중 유닛 설정'!$C$21:$C$23,1))</f>
        <v>2</v>
      </c>
      <c r="I6" s="107">
        <f>ROUND('스테이지별 골드'!G6*'공중 유닛 설정'!$B$5,0)</f>
        <v>75</v>
      </c>
      <c r="J6" s="107">
        <f>ROUND(S6*'공중 유닛 설정'!$B$6,0)</f>
        <v>3</v>
      </c>
      <c r="K6" s="108">
        <f>'공중 유닛 설정'!$B$7</f>
        <v>0.5</v>
      </c>
      <c r="L6" s="107">
        <f>ROUND('스테이지별 골드'!J6+('스테이지별 골드'!K6-'스테이지별 골드'!J6)*'공중 유닛 설정'!$B$8,0)</f>
        <v>15</v>
      </c>
      <c r="M6" s="107" t="str">
        <f>IFERROR(INDEX('공중 유닛 목록'!$E$5:$E$32,MATCH(A6&amp;"|"&amp;B6&amp;"|2",'공중 유닛 목록'!$A$5:$A$32,0)),"")</f>
        <v>깃털 활공룡</v>
      </c>
      <c r="N6" s="107">
        <f>IF(MOD(D6,2)=1,COUNTIF('공중 유닛 설정'!$B$21:$B$23,2),COUNTIF('공중 유닛 설정'!$C$21:$C$23,2))</f>
        <v>1</v>
      </c>
      <c r="O6" s="107">
        <f>ROUND('스테이지별 골드'!H6*'공중 유닛 설정'!$C$5,0)</f>
        <v>132</v>
      </c>
      <c r="P6" s="107">
        <f>ROUND(S6*'공중 유닛 설정'!$C$6,0)</f>
        <v>5</v>
      </c>
      <c r="Q6" s="108">
        <f>'공중 유닛 설정'!$C$7</f>
        <v>0.5</v>
      </c>
      <c r="R6" s="107">
        <f>ROUND('스테이지별 골드'!J6+('스테이지별 골드'!K6-'스테이지별 골드'!J6)*'공중 유닛 설정'!$C$8,0)</f>
        <v>18</v>
      </c>
      <c r="S6" s="109">
        <v>6</v>
      </c>
      <c r="T6" s="110">
        <f t="shared" si="2"/>
        <v>48</v>
      </c>
      <c r="U6" s="107">
        <f>H6*L6*'공중 유닛 설정'!$B$10+N6*R6*'공중 유닛 설정'!$C$10</f>
        <v>28.799999999999997</v>
      </c>
      <c r="V6" s="106">
        <f>'스테이지별 골드'!M6</f>
        <v>264</v>
      </c>
      <c r="W6" s="111">
        <f t="shared" si="3"/>
        <v>0.18181818181818182</v>
      </c>
      <c r="X6" s="106">
        <f>'허들 설계'!O6</f>
        <v>450</v>
      </c>
      <c r="Y6" s="110">
        <f t="shared" si="4"/>
        <v>478.8</v>
      </c>
      <c r="Z6" s="111">
        <f t="shared" si="5"/>
        <v>6.4000000000000057E-2</v>
      </c>
      <c r="AA6" s="106">
        <f>'공중 유닛 드랍'!V6</f>
        <v>8</v>
      </c>
      <c r="AB6" s="106" t="str">
        <f>'공중 유닛 드랍'!Y6</f>
        <v>금괴</v>
      </c>
      <c r="AC6" s="106">
        <f>IF(N6=0,"-",'공중 유닛 드랍'!V34)</f>
        <v>10</v>
      </c>
      <c r="AD6" s="106" t="str">
        <f>IF(N6=0,"-",'공중 유닛 드랍'!Y34)</f>
        <v>금괴</v>
      </c>
    </row>
    <row r="7" spans="1:30" x14ac:dyDescent="0.3">
      <c r="A7" s="106" t="str">
        <f>'스테이지별 골드'!A7</f>
        <v>원시</v>
      </c>
      <c r="B7" s="106" t="str">
        <f>'스테이지별 골드'!B7</f>
        <v>원시인</v>
      </c>
      <c r="C7" s="106" t="str">
        <f>'스테이지별 골드'!C7</f>
        <v>1-3</v>
      </c>
      <c r="D7" s="107">
        <f t="shared" si="0"/>
        <v>3</v>
      </c>
      <c r="E7" s="107">
        <f t="shared" si="1"/>
        <v>1</v>
      </c>
      <c r="F7" s="106" t="str">
        <f>'허들 설계'!F7</f>
        <v>평탄</v>
      </c>
      <c r="G7" s="107" t="str">
        <f>IFERROR(INDEX('공중 유닛 목록'!$E$5:$E$32,MATCH(A7&amp;"|"&amp;B7&amp;"|1",'공중 유닛 목록'!$A$5:$A$32,0)),"")</f>
        <v>박쥐 기수</v>
      </c>
      <c r="H7" s="107">
        <f>IF(MOD(D7,2)=1,COUNTIF('공중 유닛 설정'!$B$21:$B$23,1),COUNTIF('공중 유닛 설정'!$C$21:$C$23,1))</f>
        <v>3</v>
      </c>
      <c r="I7" s="107">
        <f>ROUND('스테이지별 골드'!G7*'공중 유닛 설정'!$B$5,0)</f>
        <v>90</v>
      </c>
      <c r="J7" s="107">
        <f>ROUND(S7*'공중 유닛 설정'!$B$6,0)</f>
        <v>4</v>
      </c>
      <c r="K7" s="108">
        <f>'공중 유닛 설정'!$B$7</f>
        <v>0.5</v>
      </c>
      <c r="L7" s="107">
        <f>ROUND('스테이지별 골드'!J7+('스테이지별 골드'!K7-'스테이지별 골드'!J7)*'공중 유닛 설정'!$B$8,0)</f>
        <v>18</v>
      </c>
      <c r="M7" s="107" t="str">
        <f>IFERROR(INDEX('공중 유닛 목록'!$E$5:$E$32,MATCH(A7&amp;"|"&amp;B7&amp;"|2",'공중 유닛 목록'!$A$5:$A$32,0)),"")</f>
        <v>가죽 글라이더</v>
      </c>
      <c r="N7" s="107">
        <f>IF(MOD(D7,2)=1,COUNTIF('공중 유닛 설정'!$B$21:$B$23,2),COUNTIF('공중 유닛 설정'!$C$21:$C$23,2))</f>
        <v>0</v>
      </c>
      <c r="O7" s="107">
        <f>ROUND('스테이지별 골드'!H7*'공중 유닛 설정'!$C$5,0)</f>
        <v>160</v>
      </c>
      <c r="P7" s="107">
        <f>ROUND(S7*'공중 유닛 설정'!$C$6,0)</f>
        <v>6</v>
      </c>
      <c r="Q7" s="108">
        <f>'공중 유닛 설정'!$C$7</f>
        <v>0.5</v>
      </c>
      <c r="R7" s="107">
        <f>ROUND('스테이지별 골드'!J7+('스테이지별 골드'!K7-'스테이지별 골드'!J7)*'공중 유닛 설정'!$C$8,0)</f>
        <v>21</v>
      </c>
      <c r="S7" s="109">
        <v>7</v>
      </c>
      <c r="T7" s="110">
        <f t="shared" si="2"/>
        <v>54</v>
      </c>
      <c r="U7" s="107">
        <f>H7*L7*'공중 유닛 설정'!$B$10+N7*R7*'공중 유닛 설정'!$C$10</f>
        <v>32.4</v>
      </c>
      <c r="V7" s="106">
        <f>'스테이지별 골드'!M7</f>
        <v>213</v>
      </c>
      <c r="W7" s="111">
        <f t="shared" si="3"/>
        <v>0.25352112676056338</v>
      </c>
      <c r="X7" s="106">
        <f>'허들 설계'!O7</f>
        <v>423.1</v>
      </c>
      <c r="Y7" s="110">
        <f t="shared" si="4"/>
        <v>455.5</v>
      </c>
      <c r="Z7" s="111">
        <f t="shared" si="5"/>
        <v>7.6577641219569781E-2</v>
      </c>
      <c r="AA7" s="106">
        <f>'공중 유닛 드랍'!V7</f>
        <v>8</v>
      </c>
      <c r="AB7" s="106" t="str">
        <f>'공중 유닛 드랍'!Y7</f>
        <v>금괴</v>
      </c>
      <c r="AC7" s="106" t="str">
        <f>IF(N7=0,"-",'공중 유닛 드랍'!V35)</f>
        <v>-</v>
      </c>
      <c r="AD7" s="106" t="str">
        <f>IF(N7=0,"-",'공중 유닛 드랍'!Y35)</f>
        <v>-</v>
      </c>
    </row>
    <row r="8" spans="1:30" x14ac:dyDescent="0.3">
      <c r="A8" s="106" t="str">
        <f>'스테이지별 골드'!A8</f>
        <v>원시</v>
      </c>
      <c r="B8" s="106" t="str">
        <f>'스테이지별 골드'!B8</f>
        <v>원시인</v>
      </c>
      <c r="C8" s="106" t="str">
        <f>'스테이지별 골드'!C8</f>
        <v>1-4</v>
      </c>
      <c r="D8" s="107">
        <f t="shared" si="0"/>
        <v>4</v>
      </c>
      <c r="E8" s="107">
        <f t="shared" si="1"/>
        <v>1</v>
      </c>
      <c r="F8" s="106" t="str">
        <f>'허들 설계'!F8</f>
        <v>대허들</v>
      </c>
      <c r="G8" s="107" t="str">
        <f>IFERROR(INDEX('공중 유닛 목록'!$E$5:$E$32,MATCH(A8&amp;"|"&amp;B8&amp;"|1",'공중 유닛 목록'!$A$5:$A$32,0)),"")</f>
        <v>박쥐 기수</v>
      </c>
      <c r="H8" s="107">
        <f>IF(MOD(D8,2)=1,COUNTIF('공중 유닛 설정'!$B$21:$B$23,1),COUNTIF('공중 유닛 설정'!$C$21:$C$23,1))</f>
        <v>2</v>
      </c>
      <c r="I8" s="107">
        <f>ROUND('스테이지별 골드'!G8*'공중 유닛 설정'!$B$5,0)</f>
        <v>114</v>
      </c>
      <c r="J8" s="107">
        <f>ROUND(S8*'공중 유닛 설정'!$B$6,0)</f>
        <v>5</v>
      </c>
      <c r="K8" s="108">
        <f>'공중 유닛 설정'!$B$7</f>
        <v>0.5</v>
      </c>
      <c r="L8" s="107">
        <f>ROUND('스테이지별 골드'!J8+('스테이지별 골드'!K8-'스테이지별 골드'!J8)*'공중 유닛 설정'!$B$8,0)</f>
        <v>23</v>
      </c>
      <c r="M8" s="107" t="str">
        <f>IFERROR(INDEX('공중 유닛 목록'!$E$5:$E$32,MATCH(A8&amp;"|"&amp;B8&amp;"|2",'공중 유닛 목록'!$A$5:$A$32,0)),"")</f>
        <v>가죽 글라이더</v>
      </c>
      <c r="N8" s="107">
        <f>IF(MOD(D8,2)=1,COUNTIF('공중 유닛 설정'!$B$21:$B$23,2),COUNTIF('공중 유닛 설정'!$C$21:$C$23,2))</f>
        <v>1</v>
      </c>
      <c r="O8" s="107">
        <f>ROUND('스테이지별 골드'!H8*'공중 유닛 설정'!$C$5,0)</f>
        <v>200</v>
      </c>
      <c r="P8" s="107">
        <f>ROUND(S8*'공중 유닛 설정'!$C$6,0)</f>
        <v>7</v>
      </c>
      <c r="Q8" s="108">
        <f>'공중 유닛 설정'!$C$7</f>
        <v>0.5</v>
      </c>
      <c r="R8" s="107">
        <f>ROUND('스테이지별 골드'!J8+('스테이지별 골드'!K8-'스테이지별 골드'!J8)*'공중 유닛 설정'!$C$8,0)</f>
        <v>26</v>
      </c>
      <c r="S8" s="109">
        <v>9</v>
      </c>
      <c r="T8" s="110">
        <f t="shared" si="2"/>
        <v>72</v>
      </c>
      <c r="U8" s="107">
        <f>H8*L8*'공중 유닛 설정'!$B$10+N8*R8*'공중 유닛 설정'!$C$10</f>
        <v>43.199999999999996</v>
      </c>
      <c r="V8" s="106">
        <f>'스테이지별 골드'!M8</f>
        <v>461</v>
      </c>
      <c r="W8" s="111">
        <f t="shared" si="3"/>
        <v>0.1561822125813449</v>
      </c>
      <c r="X8" s="106">
        <f>'허들 설계'!O8</f>
        <v>747.09999999999991</v>
      </c>
      <c r="Y8" s="110">
        <f t="shared" si="4"/>
        <v>790.3</v>
      </c>
      <c r="Z8" s="111">
        <f t="shared" si="5"/>
        <v>5.7823584526837113E-2</v>
      </c>
      <c r="AA8" s="106">
        <f>'공중 유닛 드랍'!V8</f>
        <v>8</v>
      </c>
      <c r="AB8" s="106" t="str">
        <f>'공중 유닛 드랍'!Y8</f>
        <v>금괴</v>
      </c>
      <c r="AC8" s="106">
        <f>IF(N8=0,"-",'공중 유닛 드랍'!V36)</f>
        <v>11</v>
      </c>
      <c r="AD8" s="106" t="str">
        <f>IF(N8=0,"-",'공중 유닛 드랍'!Y36)</f>
        <v>금괴</v>
      </c>
    </row>
    <row r="9" spans="1:30" x14ac:dyDescent="0.3">
      <c r="A9" s="112" t="str">
        <f>'스테이지별 골드'!A9</f>
        <v>고대</v>
      </c>
      <c r="B9" s="112" t="str">
        <f>'스테이지별 골드'!B9</f>
        <v>이집트</v>
      </c>
      <c r="C9" s="112" t="str">
        <f>'스테이지별 골드'!C9</f>
        <v>2-1</v>
      </c>
      <c r="D9" s="113">
        <f t="shared" si="0"/>
        <v>5</v>
      </c>
      <c r="E9" s="113">
        <f t="shared" si="1"/>
        <v>2</v>
      </c>
      <c r="F9" s="112" t="str">
        <f>'허들 설계'!F9</f>
        <v>돌파</v>
      </c>
      <c r="G9" s="113" t="str">
        <f>IFERROR(INDEX('공중 유닛 목록'!$E$5:$E$32,MATCH(A9&amp;"|"&amp;B9&amp;"|1",'공중 유닛 목록'!$A$5:$A$32,0)),"")</f>
        <v>호루스 매</v>
      </c>
      <c r="H9" s="113">
        <f>IF(MOD(D9,2)=1,COUNTIF('공중 유닛 설정'!$B$21:$B$23,1),COUNTIF('공중 유닛 설정'!$C$21:$C$23,1))</f>
        <v>3</v>
      </c>
      <c r="I9" s="113">
        <f>ROUND('스테이지별 골드'!G9*'공중 유닛 설정'!$B$5,0)</f>
        <v>138</v>
      </c>
      <c r="J9" s="113">
        <f>ROUND(S9*'공중 유닛 설정'!$B$6,0)</f>
        <v>5</v>
      </c>
      <c r="K9" s="114">
        <f>'공중 유닛 설정'!$B$7</f>
        <v>0.5</v>
      </c>
      <c r="L9" s="113">
        <f>ROUND('스테이지별 골드'!J9+('스테이지별 골드'!K9-'스테이지별 골드'!J9)*'공중 유닛 설정'!$B$8,0)</f>
        <v>27</v>
      </c>
      <c r="M9" s="113" t="str">
        <f>IFERROR(INDEX('공중 유닛 목록'!$E$5:$E$32,MATCH(A9&amp;"|"&amp;B9&amp;"|2",'공중 유닛 목록'!$A$5:$A$32,0)),"")</f>
        <v>태양 스카라베</v>
      </c>
      <c r="N9" s="113">
        <f>IF(MOD(D9,2)=1,COUNTIF('공중 유닛 설정'!$B$21:$B$23,2),COUNTIF('공중 유닛 설정'!$C$21:$C$23,2))</f>
        <v>0</v>
      </c>
      <c r="O9" s="113">
        <f>ROUND('스테이지별 골드'!H9*'공중 유닛 설정'!$C$5,0)</f>
        <v>240</v>
      </c>
      <c r="P9" s="113">
        <f>ROUND(S9*'공중 유닛 설정'!$C$6,0)</f>
        <v>8</v>
      </c>
      <c r="Q9" s="114">
        <f>'공중 유닛 설정'!$C$7</f>
        <v>0.5</v>
      </c>
      <c r="R9" s="113">
        <f>ROUND('스테이지별 골드'!J9+('스테이지별 골드'!K9-'스테이지별 골드'!J9)*'공중 유닛 설정'!$C$8,0)</f>
        <v>32</v>
      </c>
      <c r="S9" s="115">
        <v>10</v>
      </c>
      <c r="T9" s="116">
        <f t="shared" si="2"/>
        <v>81</v>
      </c>
      <c r="U9" s="113">
        <f>H9*L9*'공중 유닛 설정'!$B$10+N9*R9*'공중 유닛 설정'!$C$10</f>
        <v>48.6</v>
      </c>
      <c r="V9" s="112">
        <f>'스테이지별 골드'!M9</f>
        <v>407</v>
      </c>
      <c r="W9" s="117">
        <f t="shared" si="3"/>
        <v>0.19901719901719903</v>
      </c>
      <c r="X9" s="112">
        <f>'허들 설계'!O9</f>
        <v>804</v>
      </c>
      <c r="Y9" s="116">
        <f t="shared" si="4"/>
        <v>852.6</v>
      </c>
      <c r="Z9" s="117">
        <f t="shared" si="5"/>
        <v>6.0447761194029948E-2</v>
      </c>
      <c r="AA9" s="112">
        <f>'공중 유닛 드랍'!V9</f>
        <v>9</v>
      </c>
      <c r="AB9" s="112" t="str">
        <f>'공중 유닛 드랍'!Y9</f>
        <v>금괴</v>
      </c>
      <c r="AC9" s="112" t="str">
        <f>IF(N9=0,"-",'공중 유닛 드랍'!V37)</f>
        <v>-</v>
      </c>
      <c r="AD9" s="112" t="str">
        <f>IF(N9=0,"-",'공중 유닛 드랍'!Y37)</f>
        <v>-</v>
      </c>
    </row>
    <row r="10" spans="1:30" x14ac:dyDescent="0.3">
      <c r="A10" s="112" t="str">
        <f>'스테이지별 골드'!A10</f>
        <v>고대</v>
      </c>
      <c r="B10" s="112" t="str">
        <f>'스테이지별 골드'!B10</f>
        <v>이집트</v>
      </c>
      <c r="C10" s="112" t="str">
        <f>'스테이지별 골드'!C10</f>
        <v>2-2</v>
      </c>
      <c r="D10" s="113">
        <f t="shared" si="0"/>
        <v>6</v>
      </c>
      <c r="E10" s="113">
        <f t="shared" si="1"/>
        <v>2</v>
      </c>
      <c r="F10" s="112" t="str">
        <f>'허들 설계'!F10</f>
        <v>소허들</v>
      </c>
      <c r="G10" s="113" t="str">
        <f>IFERROR(INDEX('공중 유닛 목록'!$E$5:$E$32,MATCH(A10&amp;"|"&amp;B10&amp;"|1",'공중 유닛 목록'!$A$5:$A$32,0)),"")</f>
        <v>호루스 매</v>
      </c>
      <c r="H10" s="113">
        <f>IF(MOD(D10,2)=1,COUNTIF('공중 유닛 설정'!$B$21:$B$23,1),COUNTIF('공중 유닛 설정'!$C$21:$C$23,1))</f>
        <v>2</v>
      </c>
      <c r="I10" s="113">
        <f>ROUND('스테이지별 골드'!G10*'공중 유닛 설정'!$B$5,0)</f>
        <v>174</v>
      </c>
      <c r="J10" s="113">
        <f>ROUND(S10*'공중 유닛 설정'!$B$6,0)</f>
        <v>6</v>
      </c>
      <c r="K10" s="114">
        <f>'공중 유닛 설정'!$B$7</f>
        <v>0.5</v>
      </c>
      <c r="L10" s="113">
        <f>ROUND('스테이지별 골드'!J10+('스테이지별 골드'!K10-'스테이지별 골드'!J10)*'공중 유닛 설정'!$B$8,0)</f>
        <v>35</v>
      </c>
      <c r="M10" s="113" t="str">
        <f>IFERROR(INDEX('공중 유닛 목록'!$E$5:$E$32,MATCH(A10&amp;"|"&amp;B10&amp;"|2",'공중 유닛 목록'!$A$5:$A$32,0)),"")</f>
        <v>태양 스카라베</v>
      </c>
      <c r="N10" s="113">
        <f>IF(MOD(D10,2)=1,COUNTIF('공중 유닛 설정'!$B$21:$B$23,2),COUNTIF('공중 유닛 설정'!$C$21:$C$23,2))</f>
        <v>1</v>
      </c>
      <c r="O10" s="113">
        <f>ROUND('스테이지별 골드'!H10*'공중 유닛 설정'!$C$5,0)</f>
        <v>304</v>
      </c>
      <c r="P10" s="113">
        <f>ROUND(S10*'공중 유닛 설정'!$C$6,0)</f>
        <v>10</v>
      </c>
      <c r="Q10" s="114">
        <f>'공중 유닛 설정'!$C$7</f>
        <v>0.5</v>
      </c>
      <c r="R10" s="113">
        <f>ROUND('스테이지별 골드'!J10+('스테이지별 골드'!K10-'스테이지별 골드'!J10)*'공중 유닛 설정'!$C$8,0)</f>
        <v>40</v>
      </c>
      <c r="S10" s="115">
        <v>12</v>
      </c>
      <c r="T10" s="116">
        <f t="shared" si="2"/>
        <v>110</v>
      </c>
      <c r="U10" s="113">
        <f>H10*L10*'공중 유닛 설정'!$B$10+N10*R10*'공중 유닛 설정'!$C$10</f>
        <v>66</v>
      </c>
      <c r="V10" s="112">
        <f>'스테이지별 골드'!M10</f>
        <v>808</v>
      </c>
      <c r="W10" s="117">
        <f t="shared" si="3"/>
        <v>0.13613861386138615</v>
      </c>
      <c r="X10" s="112">
        <f>'허들 설계'!O10</f>
        <v>1236</v>
      </c>
      <c r="Y10" s="116">
        <f t="shared" si="4"/>
        <v>1302</v>
      </c>
      <c r="Z10" s="117">
        <f t="shared" si="5"/>
        <v>5.3398058252427161E-2</v>
      </c>
      <c r="AA10" s="112">
        <f>'공중 유닛 드랍'!V10</f>
        <v>9</v>
      </c>
      <c r="AB10" s="112" t="str">
        <f>'공중 유닛 드랍'!Y10</f>
        <v>금괴</v>
      </c>
      <c r="AC10" s="112">
        <f>IF(N10=0,"-",'공중 유닛 드랍'!V38)</f>
        <v>12</v>
      </c>
      <c r="AD10" s="112" t="str">
        <f>IF(N10=0,"-",'공중 유닛 드랍'!Y38)</f>
        <v>금괴</v>
      </c>
    </row>
    <row r="11" spans="1:30" x14ac:dyDescent="0.3">
      <c r="A11" s="112" t="str">
        <f>'스테이지별 골드'!A11</f>
        <v>고대</v>
      </c>
      <c r="B11" s="112" t="str">
        <f>'스테이지별 골드'!B11</f>
        <v>그리스</v>
      </c>
      <c r="C11" s="112" t="str">
        <f>'스테이지별 골드'!C11</f>
        <v>2-3</v>
      </c>
      <c r="D11" s="113">
        <f t="shared" si="0"/>
        <v>7</v>
      </c>
      <c r="E11" s="113">
        <f t="shared" si="1"/>
        <v>2</v>
      </c>
      <c r="F11" s="112" t="str">
        <f>'허들 설계'!F11</f>
        <v>평탄</v>
      </c>
      <c r="G11" s="113" t="str">
        <f>IFERROR(INDEX('공중 유닛 목록'!$E$5:$E$32,MATCH(A11&amp;"|"&amp;B11&amp;"|1",'공중 유닛 목록'!$A$5:$A$32,0)),"")</f>
        <v>페가수스</v>
      </c>
      <c r="H11" s="113">
        <f>IF(MOD(D11,2)=1,COUNTIF('공중 유닛 설정'!$B$21:$B$23,1),COUNTIF('공중 유닛 설정'!$C$21:$C$23,1))</f>
        <v>3</v>
      </c>
      <c r="I11" s="113">
        <f>ROUND('스테이지별 골드'!G11*'공중 유닛 설정'!$B$5,0)</f>
        <v>210</v>
      </c>
      <c r="J11" s="113">
        <f>ROUND(S11*'공중 유닛 설정'!$B$6,0)</f>
        <v>7</v>
      </c>
      <c r="K11" s="114">
        <f>'공중 유닛 설정'!$B$7</f>
        <v>0.5</v>
      </c>
      <c r="L11" s="113">
        <f>ROUND('스테이지별 골드'!J11+('스테이지별 골드'!K11-'스테이지별 골드'!J11)*'공중 유닛 설정'!$B$8,0)</f>
        <v>42</v>
      </c>
      <c r="M11" s="113" t="str">
        <f>IFERROR(INDEX('공중 유닛 목록'!$E$5:$E$32,MATCH(A11&amp;"|"&amp;B11&amp;"|2",'공중 유닛 목록'!$A$5:$A$32,0)),"")</f>
        <v>청동 올빼미</v>
      </c>
      <c r="N11" s="113">
        <f>IF(MOD(D11,2)=1,COUNTIF('공중 유닛 설정'!$B$21:$B$23,2),COUNTIF('공중 유닛 설정'!$C$21:$C$23,2))</f>
        <v>0</v>
      </c>
      <c r="O11" s="113">
        <f>ROUND('스테이지별 골드'!H11*'공중 유닛 설정'!$C$5,0)</f>
        <v>368</v>
      </c>
      <c r="P11" s="113">
        <f>ROUND(S11*'공중 유닛 설정'!$C$6,0)</f>
        <v>11</v>
      </c>
      <c r="Q11" s="114">
        <f>'공중 유닛 설정'!$C$7</f>
        <v>0.5</v>
      </c>
      <c r="R11" s="113">
        <f>ROUND('스테이지별 골드'!J11+('스테이지별 골드'!K11-'스테이지별 골드'!J11)*'공중 유닛 설정'!$C$8,0)</f>
        <v>48</v>
      </c>
      <c r="S11" s="115">
        <v>14</v>
      </c>
      <c r="T11" s="116">
        <f t="shared" si="2"/>
        <v>126</v>
      </c>
      <c r="U11" s="113">
        <f>H11*L11*'공중 유닛 설정'!$B$10+N11*R11*'공중 유닛 설정'!$C$10</f>
        <v>75.599999999999994</v>
      </c>
      <c r="V11" s="112">
        <f>'스테이지별 골드'!M11</f>
        <v>745</v>
      </c>
      <c r="W11" s="117">
        <f t="shared" si="3"/>
        <v>0.1691275167785235</v>
      </c>
      <c r="X11" s="112">
        <f>'허들 설계'!O11</f>
        <v>1399.5</v>
      </c>
      <c r="Y11" s="116">
        <f t="shared" si="4"/>
        <v>1475.1</v>
      </c>
      <c r="Z11" s="117">
        <f t="shared" si="5"/>
        <v>5.4019292604501556E-2</v>
      </c>
      <c r="AA11" s="112">
        <f>'공중 유닛 드랍'!V11</f>
        <v>10</v>
      </c>
      <c r="AB11" s="112" t="str">
        <f>'공중 유닛 드랍'!Y11</f>
        <v>금괴</v>
      </c>
      <c r="AC11" s="112" t="str">
        <f>IF(N11=0,"-",'공중 유닛 드랍'!V39)</f>
        <v>-</v>
      </c>
      <c r="AD11" s="112" t="str">
        <f>IF(N11=0,"-",'공중 유닛 드랍'!Y39)</f>
        <v>-</v>
      </c>
    </row>
    <row r="12" spans="1:30" x14ac:dyDescent="0.3">
      <c r="A12" s="112" t="str">
        <f>'스테이지별 골드'!A12</f>
        <v>고대</v>
      </c>
      <c r="B12" s="112" t="str">
        <f>'스테이지별 골드'!B12</f>
        <v>그리스</v>
      </c>
      <c r="C12" s="112" t="str">
        <f>'스테이지별 골드'!C12</f>
        <v>2-4</v>
      </c>
      <c r="D12" s="113">
        <f t="shared" si="0"/>
        <v>8</v>
      </c>
      <c r="E12" s="113">
        <f t="shared" si="1"/>
        <v>2</v>
      </c>
      <c r="F12" s="112" t="str">
        <f>'허들 설계'!F12</f>
        <v>대허들</v>
      </c>
      <c r="G12" s="113" t="str">
        <f>IFERROR(INDEX('공중 유닛 목록'!$E$5:$E$32,MATCH(A12&amp;"|"&amp;B12&amp;"|1",'공중 유닛 목록'!$A$5:$A$32,0)),"")</f>
        <v>페가수스</v>
      </c>
      <c r="H12" s="113">
        <f>IF(MOD(D12,2)=1,COUNTIF('공중 유닛 설정'!$B$21:$B$23,1),COUNTIF('공중 유닛 설정'!$C$21:$C$23,1))</f>
        <v>2</v>
      </c>
      <c r="I12" s="113">
        <f>ROUND('스테이지별 골드'!G12*'공중 유닛 설정'!$B$5,0)</f>
        <v>264</v>
      </c>
      <c r="J12" s="113">
        <f>ROUND(S12*'공중 유닛 설정'!$B$6,0)</f>
        <v>9</v>
      </c>
      <c r="K12" s="114">
        <f>'공중 유닛 설정'!$B$7</f>
        <v>0.5</v>
      </c>
      <c r="L12" s="113">
        <f>ROUND('스테이지별 골드'!J12+('스테이지별 골드'!K12-'스테이지별 골드'!J12)*'공중 유닛 설정'!$B$8,0)</f>
        <v>52</v>
      </c>
      <c r="M12" s="113" t="str">
        <f>IFERROR(INDEX('공중 유닛 목록'!$E$5:$E$32,MATCH(A12&amp;"|"&amp;B12&amp;"|2",'공중 유닛 목록'!$A$5:$A$32,0)),"")</f>
        <v>청동 올빼미</v>
      </c>
      <c r="N12" s="113">
        <f>IF(MOD(D12,2)=1,COUNTIF('공중 유닛 설정'!$B$21:$B$23,2),COUNTIF('공중 유닛 설정'!$C$21:$C$23,2))</f>
        <v>1</v>
      </c>
      <c r="O12" s="113">
        <f>ROUND('스테이지별 골드'!H12*'공중 유닛 설정'!$C$5,0)</f>
        <v>460</v>
      </c>
      <c r="P12" s="113">
        <f>ROUND(S12*'공중 유닛 설정'!$C$6,0)</f>
        <v>14</v>
      </c>
      <c r="Q12" s="114">
        <f>'공중 유닛 설정'!$C$7</f>
        <v>0.5</v>
      </c>
      <c r="R12" s="113">
        <f>ROUND('스테이지별 골드'!J12+('스테이지별 골드'!K12-'스테이지별 골드'!J12)*'공중 유닛 설정'!$C$8,0)</f>
        <v>61</v>
      </c>
      <c r="S12" s="115">
        <v>17</v>
      </c>
      <c r="T12" s="116">
        <f t="shared" si="2"/>
        <v>165</v>
      </c>
      <c r="U12" s="113">
        <f>H12*L12*'공중 유닛 설정'!$B$10+N12*R12*'공중 유닛 설정'!$C$10</f>
        <v>99</v>
      </c>
      <c r="V12" s="112">
        <f>'스테이지별 골드'!M12</f>
        <v>1379</v>
      </c>
      <c r="W12" s="117">
        <f t="shared" si="3"/>
        <v>0.11965192168237854</v>
      </c>
      <c r="X12" s="112">
        <f>'허들 설계'!O12</f>
        <v>2135</v>
      </c>
      <c r="Y12" s="116">
        <f t="shared" si="4"/>
        <v>2234</v>
      </c>
      <c r="Z12" s="117">
        <f t="shared" si="5"/>
        <v>4.637002341920371E-2</v>
      </c>
      <c r="AA12" s="112">
        <f>'공중 유닛 드랍'!V12</f>
        <v>10</v>
      </c>
      <c r="AB12" s="112" t="str">
        <f>'공중 유닛 드랍'!Y12</f>
        <v>금괴</v>
      </c>
      <c r="AC12" s="112">
        <f>IF(N12=0,"-",'공중 유닛 드랍'!V40)</f>
        <v>12</v>
      </c>
      <c r="AD12" s="112" t="str">
        <f>IF(N12=0,"-",'공중 유닛 드랍'!Y40)</f>
        <v>금괴</v>
      </c>
    </row>
    <row r="13" spans="1:30" x14ac:dyDescent="0.3">
      <c r="A13" s="106" t="str">
        <f>'스테이지별 골드'!A13</f>
        <v>중세</v>
      </c>
      <c r="B13" s="106" t="str">
        <f>'스테이지별 골드'!B13</f>
        <v>프랑스</v>
      </c>
      <c r="C13" s="106" t="str">
        <f>'스테이지별 골드'!C13</f>
        <v>3-1</v>
      </c>
      <c r="D13" s="107">
        <f t="shared" si="0"/>
        <v>9</v>
      </c>
      <c r="E13" s="107">
        <f t="shared" si="1"/>
        <v>3</v>
      </c>
      <c r="F13" s="106" t="str">
        <f>'허들 설계'!F13</f>
        <v>돌파</v>
      </c>
      <c r="G13" s="107" t="str">
        <f>IFERROR(INDEX('공중 유닛 목록'!$E$5:$E$32,MATCH(A13&amp;"|"&amp;B13&amp;"|1",'공중 유닛 목록'!$A$5:$A$32,0)),"")</f>
        <v>왕실 그리핀</v>
      </c>
      <c r="H13" s="107">
        <f>IF(MOD(D13,2)=1,COUNTIF('공중 유닛 설정'!$B$21:$B$23,1),COUNTIF('공중 유닛 설정'!$C$21:$C$23,1))</f>
        <v>3</v>
      </c>
      <c r="I13" s="107">
        <f>ROUND('스테이지별 골드'!G13*'공중 유닛 설정'!$B$5,0)</f>
        <v>318</v>
      </c>
      <c r="J13" s="107">
        <f>ROUND(S13*'공중 유닛 설정'!$B$6,0)</f>
        <v>10</v>
      </c>
      <c r="K13" s="108">
        <f>'공중 유닛 설정'!$B$7</f>
        <v>0.5</v>
      </c>
      <c r="L13" s="107">
        <f>ROUND('스테이지별 골드'!J13+('스테이지별 골드'!K13-'스테이지별 골드'!J13)*'공중 유닛 설정'!$B$8,0)</f>
        <v>63</v>
      </c>
      <c r="M13" s="107" t="str">
        <f>IFERROR(INDEX('공중 유닛 목록'!$E$5:$E$32,MATCH(A13&amp;"|"&amp;B13&amp;"|2",'공중 유닛 목록'!$A$5:$A$32,0)),"")</f>
        <v>갑주 매</v>
      </c>
      <c r="N13" s="107">
        <f>IF(MOD(D13,2)=1,COUNTIF('공중 유닛 설정'!$B$21:$B$23,2),COUNTIF('공중 유닛 설정'!$C$21:$C$23,2))</f>
        <v>0</v>
      </c>
      <c r="O13" s="107">
        <f>ROUND('스테이지별 골드'!H13*'공중 유닛 설정'!$C$5,0)</f>
        <v>560</v>
      </c>
      <c r="P13" s="107">
        <f>ROUND(S13*'공중 유닛 설정'!$C$6,0)</f>
        <v>16</v>
      </c>
      <c r="Q13" s="108">
        <f>'공중 유닛 설정'!$C$7</f>
        <v>0.5</v>
      </c>
      <c r="R13" s="107">
        <f>ROUND('스테이지별 골드'!J13+('스테이지별 골드'!K13-'스테이지별 골드'!J13)*'공중 유닛 설정'!$C$8,0)</f>
        <v>74</v>
      </c>
      <c r="S13" s="109">
        <v>20</v>
      </c>
      <c r="T13" s="110">
        <f t="shared" si="2"/>
        <v>189</v>
      </c>
      <c r="U13" s="107">
        <f>H13*L13*'공중 유닛 설정'!$B$10+N13*R13*'공중 유닛 설정'!$C$10</f>
        <v>113.39999999999999</v>
      </c>
      <c r="V13" s="106">
        <f>'스테이지별 골드'!M13</f>
        <v>1321</v>
      </c>
      <c r="W13" s="111">
        <f t="shared" si="3"/>
        <v>0.14307342922028765</v>
      </c>
      <c r="X13" s="106">
        <f>'허들 설계'!O13</f>
        <v>2309</v>
      </c>
      <c r="Y13" s="110">
        <f t="shared" si="4"/>
        <v>2422.4</v>
      </c>
      <c r="Z13" s="111">
        <f t="shared" si="5"/>
        <v>4.911216977046351E-2</v>
      </c>
      <c r="AA13" s="106">
        <f>'공중 유닛 드랍'!V13</f>
        <v>11</v>
      </c>
      <c r="AB13" s="106" t="str">
        <f>'공중 유닛 드랍'!Y13</f>
        <v>금괴</v>
      </c>
      <c r="AC13" s="106" t="str">
        <f>IF(N13=0,"-",'공중 유닛 드랍'!V41)</f>
        <v>-</v>
      </c>
      <c r="AD13" s="106" t="str">
        <f>IF(N13=0,"-",'공중 유닛 드랍'!Y41)</f>
        <v>-</v>
      </c>
    </row>
    <row r="14" spans="1:30" x14ac:dyDescent="0.3">
      <c r="A14" s="106" t="str">
        <f>'스테이지별 골드'!A14</f>
        <v>중세</v>
      </c>
      <c r="B14" s="106" t="str">
        <f>'스테이지별 골드'!B14</f>
        <v>프랑스</v>
      </c>
      <c r="C14" s="106" t="str">
        <f>'스테이지별 골드'!C14</f>
        <v>3-2</v>
      </c>
      <c r="D14" s="107">
        <f t="shared" si="0"/>
        <v>10</v>
      </c>
      <c r="E14" s="107">
        <f t="shared" si="1"/>
        <v>3</v>
      </c>
      <c r="F14" s="106" t="str">
        <f>'허들 설계'!F14</f>
        <v>소허들</v>
      </c>
      <c r="G14" s="107" t="str">
        <f>IFERROR(INDEX('공중 유닛 목록'!$E$5:$E$32,MATCH(A14&amp;"|"&amp;B14&amp;"|1",'공중 유닛 목록'!$A$5:$A$32,0)),"")</f>
        <v>왕실 그리핀</v>
      </c>
      <c r="H14" s="107">
        <f>IF(MOD(D14,2)=1,COUNTIF('공중 유닛 설정'!$B$21:$B$23,1),COUNTIF('공중 유닛 설정'!$C$21:$C$23,1))</f>
        <v>2</v>
      </c>
      <c r="I14" s="107">
        <f>ROUND('스테이지별 골드'!G14*'공중 유닛 설정'!$B$5,0)</f>
        <v>396</v>
      </c>
      <c r="J14" s="107">
        <f>ROUND(S14*'공중 유닛 설정'!$B$6,0)</f>
        <v>12</v>
      </c>
      <c r="K14" s="108">
        <f>'공중 유닛 설정'!$B$7</f>
        <v>0.5</v>
      </c>
      <c r="L14" s="107">
        <f>ROUND('스테이지별 골드'!J14+('스테이지별 골드'!K14-'스테이지별 골드'!J14)*'공중 유닛 설정'!$B$8,0)</f>
        <v>78</v>
      </c>
      <c r="M14" s="107" t="str">
        <f>IFERROR(INDEX('공중 유닛 목록'!$E$5:$E$32,MATCH(A14&amp;"|"&amp;B14&amp;"|2",'공중 유닛 목록'!$A$5:$A$32,0)),"")</f>
        <v>갑주 매</v>
      </c>
      <c r="N14" s="107">
        <f>IF(MOD(D14,2)=1,COUNTIF('공중 유닛 설정'!$B$21:$B$23,2),COUNTIF('공중 유닛 설정'!$C$21:$C$23,2))</f>
        <v>1</v>
      </c>
      <c r="O14" s="107">
        <f>ROUND('스테이지별 골드'!H14*'공중 유닛 설정'!$C$5,0)</f>
        <v>688</v>
      </c>
      <c r="P14" s="107">
        <f>ROUND(S14*'공중 유닛 설정'!$C$6,0)</f>
        <v>19</v>
      </c>
      <c r="Q14" s="108">
        <f>'공중 유닛 설정'!$C$7</f>
        <v>0.5</v>
      </c>
      <c r="R14" s="107">
        <f>ROUND('스테이지별 골드'!J14+('스테이지별 골드'!K14-'스테이지별 골드'!J14)*'공중 유닛 설정'!$C$8,0)</f>
        <v>91</v>
      </c>
      <c r="S14" s="109">
        <v>24</v>
      </c>
      <c r="T14" s="110">
        <f t="shared" si="2"/>
        <v>247</v>
      </c>
      <c r="U14" s="107">
        <f>H14*L14*'공중 유닛 설정'!$B$10+N14*R14*'공중 유닛 설정'!$C$10</f>
        <v>148.19999999999999</v>
      </c>
      <c r="V14" s="106">
        <f>'스테이지별 골드'!M14</f>
        <v>2301</v>
      </c>
      <c r="W14" s="111">
        <f t="shared" si="3"/>
        <v>0.10734463276836158</v>
      </c>
      <c r="X14" s="106">
        <f>'허들 설계'!O14</f>
        <v>3553</v>
      </c>
      <c r="Y14" s="110">
        <f t="shared" si="4"/>
        <v>3701.2</v>
      </c>
      <c r="Z14" s="111">
        <f t="shared" si="5"/>
        <v>4.1711229946524098E-2</v>
      </c>
      <c r="AA14" s="106">
        <f>'공중 유닛 드랍'!V14</f>
        <v>11</v>
      </c>
      <c r="AB14" s="106" t="str">
        <f>'공중 유닛 드랍'!Y14</f>
        <v>금괴</v>
      </c>
      <c r="AC14" s="106">
        <f>IF(N14=0,"-",'공중 유닛 드랍'!V42)</f>
        <v>14</v>
      </c>
      <c r="AD14" s="106" t="str">
        <f>IF(N14=0,"-",'공중 유닛 드랍'!Y42)</f>
        <v>금괴</v>
      </c>
    </row>
    <row r="15" spans="1:30" x14ac:dyDescent="0.3">
      <c r="A15" s="106" t="str">
        <f>'스테이지별 골드'!A15</f>
        <v>중세</v>
      </c>
      <c r="B15" s="106" t="str">
        <f>'스테이지별 골드'!B15</f>
        <v>독일</v>
      </c>
      <c r="C15" s="106" t="str">
        <f>'스테이지별 골드'!C15</f>
        <v>3-3</v>
      </c>
      <c r="D15" s="107">
        <f t="shared" si="0"/>
        <v>11</v>
      </c>
      <c r="E15" s="107">
        <f t="shared" si="1"/>
        <v>3</v>
      </c>
      <c r="F15" s="106" t="str">
        <f>'허들 설계'!F15</f>
        <v>평탄</v>
      </c>
      <c r="G15" s="107" t="str">
        <f>IFERROR(INDEX('공중 유닛 목록'!$E$5:$E$32,MATCH(A15&amp;"|"&amp;B15&amp;"|1",'공중 유닛 목록'!$A$5:$A$32,0)),"")</f>
        <v>목조 날개비행기</v>
      </c>
      <c r="H15" s="107">
        <f>IF(MOD(D15,2)=1,COUNTIF('공중 유닛 설정'!$B$21:$B$23,1),COUNTIF('공중 유닛 설정'!$C$21:$C$23,1))</f>
        <v>3</v>
      </c>
      <c r="I15" s="107">
        <f>ROUND('스테이지별 골드'!G15*'공중 유닛 설정'!$B$5,0)</f>
        <v>480</v>
      </c>
      <c r="J15" s="107">
        <f>ROUND(S15*'공중 유닛 설정'!$B$6,0)</f>
        <v>14</v>
      </c>
      <c r="K15" s="108">
        <f>'공중 유닛 설정'!$B$7</f>
        <v>0.5</v>
      </c>
      <c r="L15" s="107">
        <f>ROUND('스테이지별 골드'!J15+('스테이지별 골드'!K15-'스테이지별 골드'!J15)*'공중 유닛 설정'!$B$8,0)</f>
        <v>95</v>
      </c>
      <c r="M15" s="107" t="str">
        <f>IFERROR(INDEX('공중 유닛 목록'!$E$5:$E$32,MATCH(A15&amp;"|"&amp;B15&amp;"|2",'공중 유닛 목록'!$A$5:$A$32,0)),"")</f>
        <v>철갑 까마귀</v>
      </c>
      <c r="N15" s="107">
        <f>IF(MOD(D15,2)=1,COUNTIF('공중 유닛 설정'!$B$21:$B$23,2),COUNTIF('공중 유닛 설정'!$C$21:$C$23,2))</f>
        <v>0</v>
      </c>
      <c r="O15" s="107">
        <f>ROUND('스테이지별 골드'!H15*'공중 유닛 설정'!$C$5,0)</f>
        <v>840</v>
      </c>
      <c r="P15" s="107">
        <f>ROUND(S15*'공중 유닛 설정'!$C$6,0)</f>
        <v>22</v>
      </c>
      <c r="Q15" s="108">
        <f>'공중 유닛 설정'!$C$7</f>
        <v>0.5</v>
      </c>
      <c r="R15" s="107">
        <f>ROUND('스테이지별 골드'!J15+('스테이지별 골드'!K15-'스테이지별 골드'!J15)*'공중 유닛 설정'!$C$8,0)</f>
        <v>111</v>
      </c>
      <c r="S15" s="109">
        <v>28</v>
      </c>
      <c r="T15" s="110">
        <f t="shared" si="2"/>
        <v>285</v>
      </c>
      <c r="U15" s="107">
        <f>H15*L15*'공중 유닛 설정'!$B$10+N15*R15*'공중 유닛 설정'!$C$10</f>
        <v>171</v>
      </c>
      <c r="V15" s="106">
        <f>'스테이지별 골드'!M15</f>
        <v>2276</v>
      </c>
      <c r="W15" s="111">
        <f t="shared" si="3"/>
        <v>0.12521968365553604</v>
      </c>
      <c r="X15" s="106">
        <f>'허들 설계'!O15</f>
        <v>4102.5</v>
      </c>
      <c r="Y15" s="110">
        <f t="shared" si="4"/>
        <v>4273.5</v>
      </c>
      <c r="Z15" s="111">
        <f t="shared" si="5"/>
        <v>4.168190127970739E-2</v>
      </c>
      <c r="AA15" s="106">
        <f>'공중 유닛 드랍'!V15</f>
        <v>11</v>
      </c>
      <c r="AB15" s="106" t="str">
        <f>'공중 유닛 드랍'!Y15</f>
        <v>사파이어</v>
      </c>
      <c r="AC15" s="106" t="str">
        <f>IF(N15=0,"-",'공중 유닛 드랍'!V43)</f>
        <v>-</v>
      </c>
      <c r="AD15" s="106" t="str">
        <f>IF(N15=0,"-",'공중 유닛 드랍'!Y43)</f>
        <v>-</v>
      </c>
    </row>
    <row r="16" spans="1:30" x14ac:dyDescent="0.3">
      <c r="A16" s="106" t="str">
        <f>'스테이지별 골드'!A16</f>
        <v>중세</v>
      </c>
      <c r="B16" s="106" t="str">
        <f>'스테이지별 골드'!B16</f>
        <v>독일</v>
      </c>
      <c r="C16" s="106" t="str">
        <f>'스테이지별 골드'!C16</f>
        <v>3-4</v>
      </c>
      <c r="D16" s="107">
        <f t="shared" si="0"/>
        <v>12</v>
      </c>
      <c r="E16" s="107">
        <f t="shared" si="1"/>
        <v>3</v>
      </c>
      <c r="F16" s="106" t="str">
        <f>'허들 설계'!F16</f>
        <v>대허들</v>
      </c>
      <c r="G16" s="107" t="str">
        <f>IFERROR(INDEX('공중 유닛 목록'!$E$5:$E$32,MATCH(A16&amp;"|"&amp;B16&amp;"|1",'공중 유닛 목록'!$A$5:$A$32,0)),"")</f>
        <v>목조 날개비행기</v>
      </c>
      <c r="H16" s="107">
        <f>IF(MOD(D16,2)=1,COUNTIF('공중 유닛 설정'!$B$21:$B$23,1),COUNTIF('공중 유닛 설정'!$C$21:$C$23,1))</f>
        <v>2</v>
      </c>
      <c r="I16" s="107">
        <f>ROUND('스테이지별 골드'!G16*'공중 유닛 설정'!$B$5,0)</f>
        <v>600</v>
      </c>
      <c r="J16" s="107">
        <f>ROUND(S16*'공중 유닛 설정'!$B$6,0)</f>
        <v>17</v>
      </c>
      <c r="K16" s="108">
        <f>'공중 유닛 설정'!$B$7</f>
        <v>0.5</v>
      </c>
      <c r="L16" s="107">
        <f>ROUND('스테이지별 골드'!J16+('스테이지별 골드'!K16-'스테이지별 골드'!J16)*'공중 유닛 설정'!$B$8,0)</f>
        <v>118</v>
      </c>
      <c r="M16" s="107" t="str">
        <f>IFERROR(INDEX('공중 유닛 목록'!$E$5:$E$32,MATCH(A16&amp;"|"&amp;B16&amp;"|2",'공중 유닛 목록'!$A$5:$A$32,0)),"")</f>
        <v>철갑 까마귀</v>
      </c>
      <c r="N16" s="107">
        <f>IF(MOD(D16,2)=1,COUNTIF('공중 유닛 설정'!$B$21:$B$23,2),COUNTIF('공중 유닛 설정'!$C$21:$C$23,2))</f>
        <v>1</v>
      </c>
      <c r="O16" s="107">
        <f>ROUND('스테이지별 골드'!H16*'공중 유닛 설정'!$C$5,0)</f>
        <v>1040</v>
      </c>
      <c r="P16" s="107">
        <f>ROUND(S16*'공중 유닛 설정'!$C$6,0)</f>
        <v>27</v>
      </c>
      <c r="Q16" s="108">
        <f>'공중 유닛 설정'!$C$7</f>
        <v>0.5</v>
      </c>
      <c r="R16" s="107">
        <f>ROUND('스테이지별 골드'!J16+('스테이지별 골드'!K16-'스테이지별 골드'!J16)*'공중 유닛 설정'!$C$8,0)</f>
        <v>138</v>
      </c>
      <c r="S16" s="109">
        <v>34</v>
      </c>
      <c r="T16" s="110">
        <f t="shared" si="2"/>
        <v>374</v>
      </c>
      <c r="U16" s="107">
        <f>H16*L16*'공중 유닛 설정'!$B$10+N16*R16*'공중 유닛 설정'!$C$10</f>
        <v>224.39999999999998</v>
      </c>
      <c r="V16" s="106">
        <f>'스테이지별 골드'!M16</f>
        <v>3842</v>
      </c>
      <c r="W16" s="111">
        <f t="shared" si="3"/>
        <v>9.7345132743362831E-2</v>
      </c>
      <c r="X16" s="106">
        <f>'허들 설계'!O16</f>
        <v>6132.5</v>
      </c>
      <c r="Y16" s="110">
        <f t="shared" si="4"/>
        <v>6356.9</v>
      </c>
      <c r="Z16" s="111">
        <f t="shared" si="5"/>
        <v>3.659192825112112E-2</v>
      </c>
      <c r="AA16" s="106">
        <f>'공중 유닛 드랍'!V16</f>
        <v>11</v>
      </c>
      <c r="AB16" s="106" t="str">
        <f>'공중 유닛 드랍'!Y16</f>
        <v>사파이어</v>
      </c>
      <c r="AC16" s="106">
        <f>IF(N16=0,"-",'공중 유닛 드랍'!V44)</f>
        <v>14</v>
      </c>
      <c r="AD16" s="106" t="str">
        <f>IF(N16=0,"-",'공중 유닛 드랍'!Y44)</f>
        <v>사파이어</v>
      </c>
    </row>
    <row r="17" spans="1:30" x14ac:dyDescent="0.3">
      <c r="A17" s="112" t="str">
        <f>'스테이지별 골드'!A17</f>
        <v>산업</v>
      </c>
      <c r="B17" s="112" t="str">
        <f>'스테이지별 골드'!B17</f>
        <v>영국</v>
      </c>
      <c r="C17" s="112" t="str">
        <f>'스테이지별 골드'!C17</f>
        <v>4-1</v>
      </c>
      <c r="D17" s="113">
        <f t="shared" si="0"/>
        <v>13</v>
      </c>
      <c r="E17" s="113">
        <f t="shared" si="1"/>
        <v>4</v>
      </c>
      <c r="F17" s="112" t="str">
        <f>'허들 설계'!F17</f>
        <v>돌파</v>
      </c>
      <c r="G17" s="113" t="str">
        <f>IFERROR(INDEX('공중 유닛 목록'!$E$5:$E$32,MATCH(A17&amp;"|"&amp;B17&amp;"|1",'공중 유닛 목록'!$A$5:$A$32,0)),"")</f>
        <v>증기 비행선</v>
      </c>
      <c r="H17" s="113">
        <f>IF(MOD(D17,2)=1,COUNTIF('공중 유닛 설정'!$B$21:$B$23,1),COUNTIF('공중 유닛 설정'!$C$21:$C$23,1))</f>
        <v>3</v>
      </c>
      <c r="I17" s="113">
        <f>ROUND('스테이지별 골드'!G17*'공중 유닛 설정'!$B$5,0)</f>
        <v>720</v>
      </c>
      <c r="J17" s="113">
        <f>ROUND(S17*'공중 유닛 설정'!$B$6,0)</f>
        <v>20</v>
      </c>
      <c r="K17" s="114">
        <f>'공중 유닛 설정'!$B$7</f>
        <v>0.5</v>
      </c>
      <c r="L17" s="113">
        <f>ROUND('스테이지별 골드'!J17+('스테이지별 골드'!K17-'스테이지별 골드'!J17)*'공중 유닛 설정'!$B$8,0)</f>
        <v>142</v>
      </c>
      <c r="M17" s="113" t="str">
        <f>IFERROR(INDEX('공중 유닛 목록'!$E$5:$E$32,MATCH(A17&amp;"|"&amp;B17&amp;"|2",'공중 유닛 목록'!$A$5:$A$32,0)),"")</f>
        <v>황동 자이로콥터</v>
      </c>
      <c r="N17" s="113">
        <f>IF(MOD(D17,2)=1,COUNTIF('공중 유닛 설정'!$B$21:$B$23,2),COUNTIF('공중 유닛 설정'!$C$21:$C$23,2))</f>
        <v>0</v>
      </c>
      <c r="O17" s="113">
        <f>ROUND('스테이지별 골드'!H17*'공중 유닛 설정'!$C$5,0)</f>
        <v>1248</v>
      </c>
      <c r="P17" s="113">
        <f>ROUND(S17*'공중 유닛 설정'!$C$6,0)</f>
        <v>32</v>
      </c>
      <c r="Q17" s="114">
        <f>'공중 유닛 설정'!$C$7</f>
        <v>0.5</v>
      </c>
      <c r="R17" s="113">
        <f>ROUND('스테이지별 골드'!J17+('스테이지별 골드'!K17-'스테이지별 골드'!J17)*'공중 유닛 설정'!$C$8,0)</f>
        <v>165</v>
      </c>
      <c r="S17" s="115">
        <v>40</v>
      </c>
      <c r="T17" s="116">
        <f t="shared" si="2"/>
        <v>426</v>
      </c>
      <c r="U17" s="113">
        <f>H17*L17*'공중 유닛 설정'!$B$10+N17*R17*'공중 유닛 설정'!$C$10</f>
        <v>255.6</v>
      </c>
      <c r="V17" s="112">
        <f>'스테이지별 골드'!M17</f>
        <v>3829</v>
      </c>
      <c r="W17" s="117">
        <f t="shared" si="3"/>
        <v>0.11125620266388091</v>
      </c>
      <c r="X17" s="112">
        <f>'허들 설계'!O17</f>
        <v>6453</v>
      </c>
      <c r="Y17" s="116">
        <f t="shared" si="4"/>
        <v>6708.6</v>
      </c>
      <c r="Z17" s="117">
        <f t="shared" si="5"/>
        <v>3.9609483960948433E-2</v>
      </c>
      <c r="AA17" s="112">
        <f>'공중 유닛 드랍'!V17</f>
        <v>12</v>
      </c>
      <c r="AB17" s="112" t="str">
        <f>'공중 유닛 드랍'!Y17</f>
        <v>사파이어</v>
      </c>
      <c r="AC17" s="112" t="str">
        <f>IF(N17=0,"-",'공중 유닛 드랍'!V45)</f>
        <v>-</v>
      </c>
      <c r="AD17" s="112" t="str">
        <f>IF(N17=0,"-",'공중 유닛 드랍'!Y45)</f>
        <v>-</v>
      </c>
    </row>
    <row r="18" spans="1:30" x14ac:dyDescent="0.3">
      <c r="A18" s="112" t="str">
        <f>'스테이지별 골드'!A18</f>
        <v>산업</v>
      </c>
      <c r="B18" s="112" t="str">
        <f>'스테이지별 골드'!B18</f>
        <v>영국</v>
      </c>
      <c r="C18" s="112" t="str">
        <f>'스테이지별 골드'!C18</f>
        <v>4-2</v>
      </c>
      <c r="D18" s="113">
        <f t="shared" si="0"/>
        <v>14</v>
      </c>
      <c r="E18" s="113">
        <f t="shared" si="1"/>
        <v>4</v>
      </c>
      <c r="F18" s="112" t="str">
        <f>'허들 설계'!F18</f>
        <v>소허들</v>
      </c>
      <c r="G18" s="113" t="str">
        <f>IFERROR(INDEX('공중 유닛 목록'!$E$5:$E$32,MATCH(A18&amp;"|"&amp;B18&amp;"|1",'공중 유닛 목록'!$A$5:$A$32,0)),"")</f>
        <v>증기 비행선</v>
      </c>
      <c r="H18" s="113">
        <f>IF(MOD(D18,2)=1,COUNTIF('공중 유닛 설정'!$B$21:$B$23,1),COUNTIF('공중 유닛 설정'!$C$21:$C$23,1))</f>
        <v>2</v>
      </c>
      <c r="I18" s="113">
        <f>ROUND('스테이지별 골드'!G18*'공중 유닛 설정'!$B$5,0)</f>
        <v>900</v>
      </c>
      <c r="J18" s="113">
        <f>ROUND(S18*'공중 유닛 설정'!$B$6,0)</f>
        <v>24</v>
      </c>
      <c r="K18" s="114">
        <f>'공중 유닛 설정'!$B$7</f>
        <v>0.5</v>
      </c>
      <c r="L18" s="113">
        <f>ROUND('스테이지별 골드'!J18+('스테이지별 골드'!K18-'스테이지별 골드'!J18)*'공중 유닛 설정'!$B$8,0)</f>
        <v>178</v>
      </c>
      <c r="M18" s="113" t="str">
        <f>IFERROR(INDEX('공중 유닛 목록'!$E$5:$E$32,MATCH(A18&amp;"|"&amp;B18&amp;"|2",'공중 유닛 목록'!$A$5:$A$32,0)),"")</f>
        <v>황동 자이로콥터</v>
      </c>
      <c r="N18" s="113">
        <f>IF(MOD(D18,2)=1,COUNTIF('공중 유닛 설정'!$B$21:$B$23,2),COUNTIF('공중 유닛 설정'!$C$21:$C$23,2))</f>
        <v>1</v>
      </c>
      <c r="O18" s="113">
        <f>ROUND('스테이지별 골드'!H18*'공중 유닛 설정'!$C$5,0)</f>
        <v>1560</v>
      </c>
      <c r="P18" s="113">
        <f>ROUND(S18*'공중 유닛 설정'!$C$6,0)</f>
        <v>38</v>
      </c>
      <c r="Q18" s="114">
        <f>'공중 유닛 설정'!$C$7</f>
        <v>0.5</v>
      </c>
      <c r="R18" s="113">
        <f>ROUND('스테이지별 골드'!J18+('스테이지별 골드'!K18-'스테이지별 골드'!J18)*'공중 유닛 설정'!$C$8,0)</f>
        <v>206</v>
      </c>
      <c r="S18" s="115">
        <v>48</v>
      </c>
      <c r="T18" s="116">
        <f t="shared" si="2"/>
        <v>562</v>
      </c>
      <c r="U18" s="113">
        <f>H18*L18*'공중 유닛 설정'!$B$10+N18*R18*'공중 유닛 설정'!$C$10</f>
        <v>337.2</v>
      </c>
      <c r="V18" s="112">
        <f>'스테이지별 골드'!M18</f>
        <v>6297</v>
      </c>
      <c r="W18" s="117">
        <f t="shared" si="3"/>
        <v>8.9248848658091157E-2</v>
      </c>
      <c r="X18" s="112">
        <f>'허들 설계'!O18</f>
        <v>9789</v>
      </c>
      <c r="Y18" s="116">
        <f t="shared" si="4"/>
        <v>10126.200000000001</v>
      </c>
      <c r="Z18" s="117">
        <f t="shared" si="5"/>
        <v>3.4446828072326241E-2</v>
      </c>
      <c r="AA18" s="112">
        <f>'공중 유닛 드랍'!V18</f>
        <v>13</v>
      </c>
      <c r="AB18" s="112" t="str">
        <f>'공중 유닛 드랍'!Y18</f>
        <v>사파이어</v>
      </c>
      <c r="AC18" s="112">
        <f>IF(N18=0,"-",'공중 유닛 드랍'!V46)</f>
        <v>16</v>
      </c>
      <c r="AD18" s="112" t="str">
        <f>IF(N18=0,"-",'공중 유닛 드랍'!Y46)</f>
        <v>사파이어</v>
      </c>
    </row>
    <row r="19" spans="1:30" x14ac:dyDescent="0.3">
      <c r="A19" s="112" t="str">
        <f>'스테이지별 골드'!A19</f>
        <v>산업</v>
      </c>
      <c r="B19" s="112" t="str">
        <f>'스테이지별 골드'!B19</f>
        <v>미국</v>
      </c>
      <c r="C19" s="112" t="str">
        <f>'스테이지별 골드'!C19</f>
        <v>4-3</v>
      </c>
      <c r="D19" s="113">
        <f t="shared" si="0"/>
        <v>15</v>
      </c>
      <c r="E19" s="113">
        <f t="shared" si="1"/>
        <v>4</v>
      </c>
      <c r="F19" s="112" t="str">
        <f>'허들 설계'!F19</f>
        <v>평탄</v>
      </c>
      <c r="G19" s="113" t="str">
        <f>IFERROR(INDEX('공중 유닛 목록'!$E$5:$E$32,MATCH(A19&amp;"|"&amp;B19&amp;"|1",'공중 유닛 목록'!$A$5:$A$32,0)),"")</f>
        <v>복엽 정찰기</v>
      </c>
      <c r="H19" s="113">
        <f>IF(MOD(D19,2)=1,COUNTIF('공중 유닛 설정'!$B$21:$B$23,1),COUNTIF('공중 유닛 설정'!$C$21:$C$23,1))</f>
        <v>3</v>
      </c>
      <c r="I19" s="113">
        <f>ROUND('스테이지별 골드'!G19*'공중 유닛 설정'!$B$5,0)</f>
        <v>1080</v>
      </c>
      <c r="J19" s="113">
        <f>ROUND(S19*'공중 유닛 설정'!$B$6,0)</f>
        <v>29</v>
      </c>
      <c r="K19" s="114">
        <f>'공중 유닛 설정'!$B$7</f>
        <v>0.5</v>
      </c>
      <c r="L19" s="113">
        <f>ROUND('스테이지별 골드'!J19+('스테이지별 골드'!K19-'스테이지별 골드'!J19)*'공중 유닛 설정'!$B$8,0)</f>
        <v>213</v>
      </c>
      <c r="M19" s="113" t="str">
        <f>IFERROR(INDEX('공중 유닛 목록'!$E$5:$E$32,MATCH(A19&amp;"|"&amp;B19&amp;"|2",'공중 유닛 목록'!$A$5:$A$32,0)),"")</f>
        <v>철갑 비행선</v>
      </c>
      <c r="N19" s="113">
        <f>IF(MOD(D19,2)=1,COUNTIF('공중 유닛 설정'!$B$21:$B$23,2),COUNTIF('공중 유닛 설정'!$C$21:$C$23,2))</f>
        <v>0</v>
      </c>
      <c r="O19" s="113">
        <f>ROUND('스테이지별 골드'!H19*'공중 유닛 설정'!$C$5,0)</f>
        <v>1872</v>
      </c>
      <c r="P19" s="113">
        <f>ROUND(S19*'공중 유닛 설정'!$C$6,0)</f>
        <v>46</v>
      </c>
      <c r="Q19" s="114">
        <f>'공중 유닛 설정'!$C$7</f>
        <v>0.5</v>
      </c>
      <c r="R19" s="113">
        <f>ROUND('스테이지별 골드'!J19+('스테이지별 골드'!K19-'스테이지별 골드'!J19)*'공중 유닛 설정'!$C$8,0)</f>
        <v>248</v>
      </c>
      <c r="S19" s="115">
        <v>57</v>
      </c>
      <c r="T19" s="116">
        <f t="shared" si="2"/>
        <v>639</v>
      </c>
      <c r="U19" s="113">
        <f>H19*L19*'공중 유닛 설정'!$B$10+N19*R19*'공중 유닛 설정'!$C$10</f>
        <v>383.4</v>
      </c>
      <c r="V19" s="112">
        <f>'스테이지별 골드'!M19</f>
        <v>6388</v>
      </c>
      <c r="W19" s="117">
        <f t="shared" si="3"/>
        <v>0.10003130870381967</v>
      </c>
      <c r="X19" s="112">
        <f>'허들 설계'!O19</f>
        <v>10292.5</v>
      </c>
      <c r="Y19" s="116">
        <f t="shared" si="4"/>
        <v>10675.9</v>
      </c>
      <c r="Z19" s="117">
        <f t="shared" si="5"/>
        <v>3.7250425066796211E-2</v>
      </c>
      <c r="AA19" s="112">
        <f>'공중 유닛 드랍'!V19</f>
        <v>13</v>
      </c>
      <c r="AB19" s="112" t="str">
        <f>'공중 유닛 드랍'!Y19</f>
        <v>사파이어</v>
      </c>
      <c r="AC19" s="112" t="str">
        <f>IF(N19=0,"-",'공중 유닛 드랍'!V47)</f>
        <v>-</v>
      </c>
      <c r="AD19" s="112" t="str">
        <f>IF(N19=0,"-",'공중 유닛 드랍'!Y47)</f>
        <v>-</v>
      </c>
    </row>
    <row r="20" spans="1:30" x14ac:dyDescent="0.3">
      <c r="A20" s="112" t="str">
        <f>'스테이지별 골드'!A20</f>
        <v>산업</v>
      </c>
      <c r="B20" s="112" t="str">
        <f>'스테이지별 골드'!B20</f>
        <v>미국</v>
      </c>
      <c r="C20" s="112" t="str">
        <f>'스테이지별 골드'!C20</f>
        <v>4-4</v>
      </c>
      <c r="D20" s="113">
        <f t="shared" si="0"/>
        <v>16</v>
      </c>
      <c r="E20" s="113">
        <f t="shared" si="1"/>
        <v>4</v>
      </c>
      <c r="F20" s="112" t="str">
        <f>'허들 설계'!F20</f>
        <v>대허들</v>
      </c>
      <c r="G20" s="113" t="str">
        <f>IFERROR(INDEX('공중 유닛 목록'!$E$5:$E$32,MATCH(A20&amp;"|"&amp;B20&amp;"|1",'공중 유닛 목록'!$A$5:$A$32,0)),"")</f>
        <v>복엽 정찰기</v>
      </c>
      <c r="H20" s="113">
        <f>IF(MOD(D20,2)=1,COUNTIF('공중 유닛 설정'!$B$21:$B$23,1),COUNTIF('공중 유닛 설정'!$C$21:$C$23,1))</f>
        <v>2</v>
      </c>
      <c r="I20" s="113">
        <f>ROUND('스테이지별 골드'!G20*'공중 유닛 설정'!$B$5,0)</f>
        <v>1350</v>
      </c>
      <c r="J20" s="113">
        <f>ROUND(S20*'공중 유닛 설정'!$B$6,0)</f>
        <v>34</v>
      </c>
      <c r="K20" s="114">
        <f>'공중 유닛 설정'!$B$7</f>
        <v>0.5</v>
      </c>
      <c r="L20" s="113">
        <f>ROUND('스테이지별 골드'!J20+('스테이지별 골드'!K20-'스테이지별 골드'!J20)*'공중 유닛 설정'!$B$8,0)</f>
        <v>267</v>
      </c>
      <c r="M20" s="113" t="str">
        <f>IFERROR(INDEX('공중 유닛 목록'!$E$5:$E$32,MATCH(A20&amp;"|"&amp;B20&amp;"|2",'공중 유닛 목록'!$A$5:$A$32,0)),"")</f>
        <v>철갑 비행선</v>
      </c>
      <c r="N20" s="113">
        <f>IF(MOD(D20,2)=1,COUNTIF('공중 유닛 설정'!$B$21:$B$23,2),COUNTIF('공중 유닛 설정'!$C$21:$C$23,2))</f>
        <v>1</v>
      </c>
      <c r="O20" s="113">
        <f>ROUND('스테이지별 골드'!H20*'공중 유닛 설정'!$C$5,0)</f>
        <v>2340</v>
      </c>
      <c r="P20" s="113">
        <f>ROUND(S20*'공중 유닛 설정'!$C$6,0)</f>
        <v>54</v>
      </c>
      <c r="Q20" s="114">
        <f>'공중 유닛 설정'!$C$7</f>
        <v>0.5</v>
      </c>
      <c r="R20" s="113">
        <f>ROUND('스테이지별 골드'!J20+('스테이지별 골드'!K20-'스테이지별 골드'!J20)*'공중 유닛 설정'!$C$8,0)</f>
        <v>309</v>
      </c>
      <c r="S20" s="115">
        <v>68</v>
      </c>
      <c r="T20" s="116">
        <f t="shared" si="2"/>
        <v>843</v>
      </c>
      <c r="U20" s="113">
        <f>H20*L20*'공중 유닛 설정'!$B$10+N20*R20*'공중 유닛 설정'!$C$10</f>
        <v>505.79999999999995</v>
      </c>
      <c r="V20" s="112">
        <f>'스테이지별 골드'!M20</f>
        <v>10247</v>
      </c>
      <c r="W20" s="117">
        <f t="shared" si="3"/>
        <v>8.2267980872450477E-2</v>
      </c>
      <c r="X20" s="112">
        <f>'허들 설계'!O20</f>
        <v>15422.5</v>
      </c>
      <c r="Y20" s="116">
        <f t="shared" si="4"/>
        <v>15928.3</v>
      </c>
      <c r="Z20" s="117">
        <f t="shared" si="5"/>
        <v>3.2796239260820093E-2</v>
      </c>
      <c r="AA20" s="112">
        <f>'공중 유닛 드랍'!V20</f>
        <v>13</v>
      </c>
      <c r="AB20" s="112" t="str">
        <f>'공중 유닛 드랍'!Y20</f>
        <v>사파이어</v>
      </c>
      <c r="AC20" s="112">
        <f>IF(N20=0,"-",'공중 유닛 드랍'!V48)</f>
        <v>16</v>
      </c>
      <c r="AD20" s="112" t="str">
        <f>IF(N20=0,"-",'공중 유닛 드랍'!Y48)</f>
        <v>사파이어</v>
      </c>
    </row>
    <row r="21" spans="1:30" x14ac:dyDescent="0.3">
      <c r="A21" s="106" t="str">
        <f>'스테이지별 골드'!A21</f>
        <v>현대</v>
      </c>
      <c r="B21" s="106" t="str">
        <f>'스테이지별 골드'!B21</f>
        <v>미국</v>
      </c>
      <c r="C21" s="106" t="str">
        <f>'스테이지별 골드'!C21</f>
        <v>5-1</v>
      </c>
      <c r="D21" s="107">
        <f t="shared" si="0"/>
        <v>17</v>
      </c>
      <c r="E21" s="107">
        <f t="shared" si="1"/>
        <v>5</v>
      </c>
      <c r="F21" s="106" t="str">
        <f>'허들 설계'!F21</f>
        <v>돌파</v>
      </c>
      <c r="G21" s="107" t="str">
        <f>IFERROR(INDEX('공중 유닛 목록'!$E$5:$E$32,MATCH(A21&amp;"|"&amp;B21&amp;"|1",'공중 유닛 목록'!$A$5:$A$32,0)),"")</f>
        <v>공격 헬기</v>
      </c>
      <c r="H21" s="107">
        <f>IF(MOD(D21,2)=1,COUNTIF('공중 유닛 설정'!$B$21:$B$23,1),COUNTIF('공중 유닛 설정'!$C$21:$C$23,1))</f>
        <v>3</v>
      </c>
      <c r="I21" s="107">
        <f>ROUND('스테이지별 골드'!G21*'공중 유닛 설정'!$B$5,0)</f>
        <v>1620</v>
      </c>
      <c r="J21" s="107">
        <f>ROUND(S21*'공중 유닛 설정'!$B$6,0)</f>
        <v>40</v>
      </c>
      <c r="K21" s="108">
        <f>'공중 유닛 설정'!$B$7</f>
        <v>0.5</v>
      </c>
      <c r="L21" s="107">
        <f>ROUND('스테이지별 골드'!J21+('스테이지별 골드'!K21-'스테이지별 골드'!J21)*'공중 유닛 설정'!$B$8,0)</f>
        <v>320</v>
      </c>
      <c r="M21" s="107" t="str">
        <f>IFERROR(INDEX('공중 유닛 목록'!$E$5:$E$32,MATCH(A21&amp;"|"&amp;B21&amp;"|2",'공중 유닛 목록'!$A$5:$A$32,0)),"")</f>
        <v>쌍발 전투기</v>
      </c>
      <c r="N21" s="107">
        <f>IF(MOD(D21,2)=1,COUNTIF('공중 유닛 설정'!$B$21:$B$23,2),COUNTIF('공중 유닛 설정'!$C$21:$C$23,2))</f>
        <v>0</v>
      </c>
      <c r="O21" s="107">
        <f>ROUND('스테이지별 골드'!H21*'공중 유닛 설정'!$C$5,0)</f>
        <v>2808</v>
      </c>
      <c r="P21" s="107">
        <f>ROUND(S21*'공중 유닛 설정'!$C$6,0)</f>
        <v>64</v>
      </c>
      <c r="Q21" s="108">
        <f>'공중 유닛 설정'!$C$7</f>
        <v>0.5</v>
      </c>
      <c r="R21" s="107">
        <f>ROUND('스테이지별 골드'!J21+('스테이지별 골드'!K21-'스테이지별 골드'!J21)*'공중 유닛 설정'!$C$8,0)</f>
        <v>371</v>
      </c>
      <c r="S21" s="109">
        <v>80</v>
      </c>
      <c r="T21" s="110">
        <f t="shared" si="2"/>
        <v>960</v>
      </c>
      <c r="U21" s="107">
        <f>H21*L21*'공중 유닛 설정'!$B$10+N21*R21*'공중 유닛 설정'!$C$10</f>
        <v>576</v>
      </c>
      <c r="V21" s="106">
        <f>'스테이지별 골드'!M21</f>
        <v>10539</v>
      </c>
      <c r="W21" s="111">
        <f t="shared" si="3"/>
        <v>9.1090236265300314E-2</v>
      </c>
      <c r="X21" s="106">
        <f>'허들 설계'!O21</f>
        <v>17235</v>
      </c>
      <c r="Y21" s="110">
        <f t="shared" si="4"/>
        <v>17811</v>
      </c>
      <c r="Z21" s="111">
        <f t="shared" si="5"/>
        <v>3.3420365535248076E-2</v>
      </c>
      <c r="AA21" s="106">
        <f>'공중 유닛 드랍'!V21</f>
        <v>14</v>
      </c>
      <c r="AB21" s="106" t="str">
        <f>'공중 유닛 드랍'!Y21</f>
        <v>사파이어</v>
      </c>
      <c r="AC21" s="106" t="str">
        <f>IF(N21=0,"-",'공중 유닛 드랍'!V49)</f>
        <v>-</v>
      </c>
      <c r="AD21" s="106" t="str">
        <f>IF(N21=0,"-",'공중 유닛 드랍'!Y49)</f>
        <v>-</v>
      </c>
    </row>
    <row r="22" spans="1:30" x14ac:dyDescent="0.3">
      <c r="A22" s="106" t="str">
        <f>'스테이지별 골드'!A22</f>
        <v>현대</v>
      </c>
      <c r="B22" s="106" t="str">
        <f>'스테이지별 골드'!B22</f>
        <v>미국</v>
      </c>
      <c r="C22" s="106" t="str">
        <f>'스테이지별 골드'!C22</f>
        <v>5-2</v>
      </c>
      <c r="D22" s="107">
        <f t="shared" si="0"/>
        <v>18</v>
      </c>
      <c r="E22" s="107">
        <f t="shared" si="1"/>
        <v>5</v>
      </c>
      <c r="F22" s="106" t="str">
        <f>'허들 설계'!F22</f>
        <v>소허들</v>
      </c>
      <c r="G22" s="107" t="str">
        <f>IFERROR(INDEX('공중 유닛 목록'!$E$5:$E$32,MATCH(A22&amp;"|"&amp;B22&amp;"|1",'공중 유닛 목록'!$A$5:$A$32,0)),"")</f>
        <v>공격 헬기</v>
      </c>
      <c r="H22" s="107">
        <f>IF(MOD(D22,2)=1,COUNTIF('공중 유닛 설정'!$B$21:$B$23,1),COUNTIF('공중 유닛 설정'!$C$21:$C$23,1))</f>
        <v>2</v>
      </c>
      <c r="I22" s="107">
        <f>ROUND('스테이지별 골드'!G22*'공중 유닛 설정'!$B$5,0)</f>
        <v>2040</v>
      </c>
      <c r="J22" s="107">
        <f>ROUND(S22*'공중 유닛 설정'!$B$6,0)</f>
        <v>48</v>
      </c>
      <c r="K22" s="108">
        <f>'공중 유닛 설정'!$B$7</f>
        <v>0.5</v>
      </c>
      <c r="L22" s="107">
        <f>ROUND('스테이지별 골드'!J22+('스테이지별 골드'!K22-'스테이지별 골드'!J22)*'공중 유닛 설정'!$B$8,0)</f>
        <v>403</v>
      </c>
      <c r="M22" s="107" t="str">
        <f>IFERROR(INDEX('공중 유닛 목록'!$E$5:$E$32,MATCH(A22&amp;"|"&amp;B22&amp;"|2",'공중 유닛 목록'!$A$5:$A$32,0)),"")</f>
        <v>쌍발 전투기</v>
      </c>
      <c r="N22" s="107">
        <f>IF(MOD(D22,2)=1,COUNTIF('공중 유닛 설정'!$B$21:$B$23,2),COUNTIF('공중 유닛 설정'!$C$21:$C$23,2))</f>
        <v>1</v>
      </c>
      <c r="O22" s="107">
        <f>ROUND('스테이지별 골드'!H22*'공중 유닛 설정'!$C$5,0)</f>
        <v>3536</v>
      </c>
      <c r="P22" s="107">
        <f>ROUND(S22*'공중 유닛 설정'!$C$6,0)</f>
        <v>77</v>
      </c>
      <c r="Q22" s="108">
        <f>'공중 유닛 설정'!$C$7</f>
        <v>0.5</v>
      </c>
      <c r="R22" s="107">
        <f>ROUND('스테이지별 골드'!J22+('스테이지별 골드'!K22-'스테이지별 골드'!J22)*'공중 유닛 설정'!$C$8,0)</f>
        <v>467</v>
      </c>
      <c r="S22" s="109">
        <v>96</v>
      </c>
      <c r="T22" s="110">
        <f t="shared" si="2"/>
        <v>1273</v>
      </c>
      <c r="U22" s="107">
        <f>H22*L22*'공중 유닛 설정'!$B$10+N22*R22*'공중 유닛 설정'!$C$10</f>
        <v>763.8</v>
      </c>
      <c r="V22" s="106">
        <f>'스테이지별 골드'!M22</f>
        <v>16690</v>
      </c>
      <c r="W22" s="111">
        <f t="shared" si="3"/>
        <v>7.6273217495506293E-2</v>
      </c>
      <c r="X22" s="106">
        <f>'허들 설계'!O22</f>
        <v>25320</v>
      </c>
      <c r="Y22" s="110">
        <f t="shared" si="4"/>
        <v>26083.8</v>
      </c>
      <c r="Z22" s="111">
        <f t="shared" si="5"/>
        <v>3.0165876777251244E-2</v>
      </c>
      <c r="AA22" s="106">
        <f>'공중 유닛 드랍'!V22</f>
        <v>15</v>
      </c>
      <c r="AB22" s="106" t="str">
        <f>'공중 유닛 드랍'!Y22</f>
        <v>사파이어</v>
      </c>
      <c r="AC22" s="106">
        <f>IF(N22=0,"-",'공중 유닛 드랍'!V50)</f>
        <v>18</v>
      </c>
      <c r="AD22" s="106" t="str">
        <f>IF(N22=0,"-",'공중 유닛 드랍'!Y50)</f>
        <v>사파이어</v>
      </c>
    </row>
    <row r="23" spans="1:30" x14ac:dyDescent="0.3">
      <c r="A23" s="106" t="str">
        <f>'스테이지별 골드'!A23</f>
        <v>현대</v>
      </c>
      <c r="B23" s="106" t="str">
        <f>'스테이지별 골드'!B23</f>
        <v>한국</v>
      </c>
      <c r="C23" s="106" t="str">
        <f>'스테이지별 골드'!C23</f>
        <v>5-3</v>
      </c>
      <c r="D23" s="107">
        <f t="shared" si="0"/>
        <v>19</v>
      </c>
      <c r="E23" s="107">
        <f t="shared" si="1"/>
        <v>5</v>
      </c>
      <c r="F23" s="106" t="str">
        <f>'허들 설계'!F23</f>
        <v>평탄</v>
      </c>
      <c r="G23" s="107" t="str">
        <f>IFERROR(INDEX('공중 유닛 목록'!$E$5:$E$32,MATCH(A23&amp;"|"&amp;B23&amp;"|1",'공중 유닛 목록'!$A$5:$A$32,0)),"")</f>
        <v>틸트로터 무인기</v>
      </c>
      <c r="H23" s="107">
        <f>IF(MOD(D23,2)=1,COUNTIF('공중 유닛 설정'!$B$21:$B$23,1),COUNTIF('공중 유닛 설정'!$C$21:$C$23,1))</f>
        <v>3</v>
      </c>
      <c r="I23" s="107">
        <f>ROUND('스테이지별 골드'!G23*'공중 유닛 설정'!$B$5,0)</f>
        <v>2460</v>
      </c>
      <c r="J23" s="107">
        <f>ROUND(S23*'공중 유닛 설정'!$B$6,0)</f>
        <v>58</v>
      </c>
      <c r="K23" s="108">
        <f>'공중 유닛 설정'!$B$7</f>
        <v>0.5</v>
      </c>
      <c r="L23" s="107">
        <f>ROUND('스테이지별 골드'!J23+('스테이지별 골드'!K23-'스테이지별 골드'!J23)*'공중 유닛 설정'!$B$8,0)</f>
        <v>486</v>
      </c>
      <c r="M23" s="107" t="str">
        <f>IFERROR(INDEX('공중 유닛 목록'!$E$5:$E$32,MATCH(A23&amp;"|"&amp;B23&amp;"|2",'공중 유닛 목록'!$A$5:$A$32,0)),"")</f>
        <v>스텔스 요격기</v>
      </c>
      <c r="N23" s="107">
        <f>IF(MOD(D23,2)=1,COUNTIF('공중 유닛 설정'!$B$21:$B$23,2),COUNTIF('공중 유닛 설정'!$C$21:$C$23,2))</f>
        <v>0</v>
      </c>
      <c r="O23" s="107">
        <f>ROUND('스테이지별 골드'!H23*'공중 유닛 설정'!$C$5,0)</f>
        <v>4264</v>
      </c>
      <c r="P23" s="107">
        <f>ROUND(S23*'공중 유닛 설정'!$C$6,0)</f>
        <v>92</v>
      </c>
      <c r="Q23" s="108">
        <f>'공중 유닛 설정'!$C$7</f>
        <v>0.5</v>
      </c>
      <c r="R23" s="107">
        <f>ROUND('스테이지별 골드'!J23+('스테이지별 골드'!K23-'스테이지별 골드'!J23)*'공중 유닛 설정'!$C$8,0)</f>
        <v>564</v>
      </c>
      <c r="S23" s="109">
        <v>115</v>
      </c>
      <c r="T23" s="110">
        <f t="shared" si="2"/>
        <v>1458</v>
      </c>
      <c r="U23" s="107">
        <f>H23*L23*'공중 유닛 설정'!$B$10+N23*R23*'공중 유닛 설정'!$C$10</f>
        <v>874.8</v>
      </c>
      <c r="V23" s="106">
        <f>'스테이지별 골드'!M23</f>
        <v>17470</v>
      </c>
      <c r="W23" s="111">
        <f t="shared" si="3"/>
        <v>8.3457355466514019E-2</v>
      </c>
      <c r="X23" s="106">
        <f>'허들 설계'!O23</f>
        <v>28000</v>
      </c>
      <c r="Y23" s="110">
        <f t="shared" si="4"/>
        <v>28874.799999999999</v>
      </c>
      <c r="Z23" s="111">
        <f t="shared" si="5"/>
        <v>3.1242857142857128E-2</v>
      </c>
      <c r="AA23" s="106">
        <f>'공중 유닛 드랍'!V23</f>
        <v>15</v>
      </c>
      <c r="AB23" s="106" t="str">
        <f>'공중 유닛 드랍'!Y23</f>
        <v>사파이어</v>
      </c>
      <c r="AC23" s="106" t="str">
        <f>IF(N23=0,"-",'공중 유닛 드랍'!V51)</f>
        <v>-</v>
      </c>
      <c r="AD23" s="106" t="str">
        <f>IF(N23=0,"-",'공중 유닛 드랍'!Y51)</f>
        <v>-</v>
      </c>
    </row>
    <row r="24" spans="1:30" x14ac:dyDescent="0.3">
      <c r="A24" s="106" t="str">
        <f>'스테이지별 골드'!A24</f>
        <v>현대</v>
      </c>
      <c r="B24" s="106" t="str">
        <f>'스테이지별 골드'!B24</f>
        <v>한국</v>
      </c>
      <c r="C24" s="106" t="str">
        <f>'스테이지별 골드'!C24</f>
        <v>5-4</v>
      </c>
      <c r="D24" s="107">
        <f t="shared" si="0"/>
        <v>20</v>
      </c>
      <c r="E24" s="107">
        <f t="shared" si="1"/>
        <v>5</v>
      </c>
      <c r="F24" s="106" t="str">
        <f>'허들 설계'!F24</f>
        <v>대허들</v>
      </c>
      <c r="G24" s="107" t="str">
        <f>IFERROR(INDEX('공중 유닛 목록'!$E$5:$E$32,MATCH(A24&amp;"|"&amp;B24&amp;"|1",'공중 유닛 목록'!$A$5:$A$32,0)),"")</f>
        <v>틸트로터 무인기</v>
      </c>
      <c r="H24" s="107">
        <f>IF(MOD(D24,2)=1,COUNTIF('공중 유닛 설정'!$B$21:$B$23,1),COUNTIF('공중 유닛 설정'!$C$21:$C$23,1))</f>
        <v>2</v>
      </c>
      <c r="I24" s="107">
        <f>ROUND('스테이지별 골드'!G24*'공중 유닛 설정'!$B$5,0)</f>
        <v>3060</v>
      </c>
      <c r="J24" s="107">
        <f>ROUND(S24*'공중 유닛 설정'!$B$6,0)</f>
        <v>69</v>
      </c>
      <c r="K24" s="108">
        <f>'공중 유닛 설정'!$B$7</f>
        <v>0.5</v>
      </c>
      <c r="L24" s="107">
        <f>ROUND('스테이지별 골드'!J24+('스테이지별 골드'!K24-'스테이지별 골드'!J24)*'공중 유닛 설정'!$B$8,0)</f>
        <v>604</v>
      </c>
      <c r="M24" s="107" t="str">
        <f>IFERROR(INDEX('공중 유닛 목록'!$E$5:$E$32,MATCH(A24&amp;"|"&amp;B24&amp;"|2",'공중 유닛 목록'!$A$5:$A$32,0)),"")</f>
        <v>스텔스 요격기</v>
      </c>
      <c r="N24" s="107">
        <f>IF(MOD(D24,2)=1,COUNTIF('공중 유닛 설정'!$B$21:$B$23,2),COUNTIF('공중 유닛 설정'!$C$21:$C$23,2))</f>
        <v>1</v>
      </c>
      <c r="O24" s="107">
        <f>ROUND('스테이지별 골드'!H24*'공중 유닛 설정'!$C$5,0)</f>
        <v>5304</v>
      </c>
      <c r="P24" s="107">
        <f>ROUND(S24*'공중 유닛 설정'!$C$6,0)</f>
        <v>110</v>
      </c>
      <c r="Q24" s="108">
        <f>'공중 유닛 설정'!$C$7</f>
        <v>0.5</v>
      </c>
      <c r="R24" s="107">
        <f>ROUND('스테이지별 골드'!J24+('스테이지별 골드'!K24-'스테이지별 골드'!J24)*'공중 유닛 설정'!$C$8,0)</f>
        <v>702</v>
      </c>
      <c r="S24" s="109">
        <v>138</v>
      </c>
      <c r="T24" s="110">
        <f t="shared" si="2"/>
        <v>1910</v>
      </c>
      <c r="U24" s="107">
        <f>H24*L24*'공중 유닛 설정'!$B$10+N24*R24*'공중 유닛 설정'!$C$10</f>
        <v>1146</v>
      </c>
      <c r="V24" s="106">
        <f>'스테이지별 골드'!M24</f>
        <v>26861</v>
      </c>
      <c r="W24" s="111">
        <f t="shared" si="3"/>
        <v>7.1106809128476223E-2</v>
      </c>
      <c r="X24" s="106">
        <f>'허들 설계'!O24</f>
        <v>39152.5</v>
      </c>
      <c r="Y24" s="110">
        <f t="shared" si="4"/>
        <v>40298.5</v>
      </c>
      <c r="Z24" s="111">
        <f t="shared" si="5"/>
        <v>2.9270161547793938E-2</v>
      </c>
      <c r="AA24" s="106">
        <f>'공중 유닛 드랍'!V24</f>
        <v>15</v>
      </c>
      <c r="AB24" s="106" t="str">
        <f>'공중 유닛 드랍'!Y24</f>
        <v>루비</v>
      </c>
      <c r="AC24" s="106">
        <f>IF(N24=0,"-",'공중 유닛 드랍'!V52)</f>
        <v>19</v>
      </c>
      <c r="AD24" s="106" t="str">
        <f>IF(N24=0,"-",'공중 유닛 드랍'!Y52)</f>
        <v>사파이어</v>
      </c>
    </row>
    <row r="25" spans="1:30" x14ac:dyDescent="0.3">
      <c r="A25" s="112" t="str">
        <f>'스테이지별 골드'!A25</f>
        <v>미래</v>
      </c>
      <c r="B25" s="112" t="str">
        <f>'스테이지별 골드'!B25</f>
        <v>일본</v>
      </c>
      <c r="C25" s="112" t="str">
        <f>'스테이지별 골드'!C25</f>
        <v>6-1</v>
      </c>
      <c r="D25" s="113">
        <f t="shared" si="0"/>
        <v>21</v>
      </c>
      <c r="E25" s="113">
        <f t="shared" si="1"/>
        <v>6</v>
      </c>
      <c r="F25" s="112" t="str">
        <f>'허들 설계'!F25</f>
        <v>돌파</v>
      </c>
      <c r="G25" s="113" t="str">
        <f>IFERROR(INDEX('공중 유닛 목록'!$E$5:$E$32,MATCH(A25&amp;"|"&amp;B25&amp;"|1",'공중 유닛 목록'!$A$5:$A$32,0)),"")</f>
        <v>링 드론</v>
      </c>
      <c r="H25" s="113">
        <f>IF(MOD(D25,2)=1,COUNTIF('공중 유닛 설정'!$B$21:$B$23,1),COUNTIF('공중 유닛 설정'!$C$21:$C$23,1))</f>
        <v>3</v>
      </c>
      <c r="I25" s="113">
        <f>ROUND('스테이지별 골드'!G25*'공중 유닛 설정'!$B$5,0)</f>
        <v>3720</v>
      </c>
      <c r="J25" s="113">
        <f>ROUND(S25*'공중 유닛 설정'!$B$6,0)</f>
        <v>83</v>
      </c>
      <c r="K25" s="114">
        <f>'공중 유닛 설정'!$B$7</f>
        <v>0.5</v>
      </c>
      <c r="L25" s="113">
        <f>ROUND('스테이지별 골드'!J25+('스테이지별 골드'!K25-'스테이지별 골드'!J25)*'공중 유닛 설정'!$B$8,0)</f>
        <v>735</v>
      </c>
      <c r="M25" s="113" t="str">
        <f>IFERROR(INDEX('공중 유닛 목록'!$E$5:$E$32,MATCH(A25&amp;"|"&amp;B25&amp;"|2",'공중 유닛 목록'!$A$5:$A$32,0)),"")</f>
        <v>호버 건쉽</v>
      </c>
      <c r="N25" s="113">
        <f>IF(MOD(D25,2)=1,COUNTIF('공중 유닛 설정'!$B$21:$B$23,2),COUNTIF('공중 유닛 설정'!$C$21:$C$23,2))</f>
        <v>0</v>
      </c>
      <c r="O25" s="113">
        <f>ROUND('스테이지별 골드'!H25*'공중 유닛 설정'!$C$5,0)</f>
        <v>6448</v>
      </c>
      <c r="P25" s="113">
        <f>ROUND(S25*'공중 유닛 설정'!$C$6,0)</f>
        <v>132</v>
      </c>
      <c r="Q25" s="114">
        <f>'공중 유닛 설정'!$C$7</f>
        <v>0.5</v>
      </c>
      <c r="R25" s="113">
        <f>ROUND('스테이지별 골드'!J25+('스테이지별 골드'!K25-'스테이지별 골드'!J25)*'공중 유닛 설정'!$C$8,0)</f>
        <v>852</v>
      </c>
      <c r="S25" s="115">
        <v>165</v>
      </c>
      <c r="T25" s="116">
        <f t="shared" si="2"/>
        <v>2205</v>
      </c>
      <c r="U25" s="113">
        <f>H25*L25*'공중 유닛 설정'!$B$10+N25*R25*'공중 유닛 설정'!$C$10</f>
        <v>1323</v>
      </c>
      <c r="V25" s="112">
        <f>'스테이지별 골드'!M25</f>
        <v>28617</v>
      </c>
      <c r="W25" s="117">
        <f t="shared" si="3"/>
        <v>7.7052101897473524E-2</v>
      </c>
      <c r="X25" s="112">
        <f>'허들 설계'!O25</f>
        <v>45050</v>
      </c>
      <c r="Y25" s="116">
        <f t="shared" si="4"/>
        <v>46373</v>
      </c>
      <c r="Z25" s="117">
        <f t="shared" si="5"/>
        <v>2.9367369589345271E-2</v>
      </c>
      <c r="AA25" s="112">
        <f>'공중 유닛 드랍'!V25</f>
        <v>17</v>
      </c>
      <c r="AB25" s="112" t="str">
        <f>'공중 유닛 드랍'!Y25</f>
        <v>루비</v>
      </c>
      <c r="AC25" s="112" t="str">
        <f>IF(N25=0,"-",'공중 유닛 드랍'!V53)</f>
        <v>-</v>
      </c>
      <c r="AD25" s="112" t="str">
        <f>IF(N25=0,"-",'공중 유닛 드랍'!Y53)</f>
        <v>-</v>
      </c>
    </row>
    <row r="26" spans="1:30" x14ac:dyDescent="0.3">
      <c r="A26" s="112" t="str">
        <f>'스테이지별 골드'!A26</f>
        <v>미래</v>
      </c>
      <c r="B26" s="112" t="str">
        <f>'스테이지별 골드'!B26</f>
        <v>일본</v>
      </c>
      <c r="C26" s="112" t="str">
        <f>'스테이지별 골드'!C26</f>
        <v>6-2</v>
      </c>
      <c r="D26" s="113">
        <f t="shared" si="0"/>
        <v>22</v>
      </c>
      <c r="E26" s="113">
        <f t="shared" si="1"/>
        <v>6</v>
      </c>
      <c r="F26" s="112" t="str">
        <f>'허들 설계'!F26</f>
        <v>소허들</v>
      </c>
      <c r="G26" s="113" t="str">
        <f>IFERROR(INDEX('공중 유닛 목록'!$E$5:$E$32,MATCH(A26&amp;"|"&amp;B26&amp;"|1",'공중 유닛 목록'!$A$5:$A$32,0)),"")</f>
        <v>링 드론</v>
      </c>
      <c r="H26" s="113">
        <f>IF(MOD(D26,2)=1,COUNTIF('공중 유닛 설정'!$B$21:$B$23,1),COUNTIF('공중 유닛 설정'!$C$21:$C$23,1))</f>
        <v>2</v>
      </c>
      <c r="I26" s="113">
        <f>ROUND('스테이지별 골드'!G26*'공중 유닛 설정'!$B$5,0)</f>
        <v>4620</v>
      </c>
      <c r="J26" s="113">
        <f>ROUND(S26*'공중 유닛 설정'!$B$6,0)</f>
        <v>99</v>
      </c>
      <c r="K26" s="114">
        <f>'공중 유닛 설정'!$B$7</f>
        <v>0.5</v>
      </c>
      <c r="L26" s="113">
        <f>ROUND('스테이지별 골드'!J26+('스테이지별 골드'!K26-'스테이지별 골드'!J26)*'공중 유닛 설정'!$B$8,0)</f>
        <v>912</v>
      </c>
      <c r="M26" s="113" t="str">
        <f>IFERROR(INDEX('공중 유닛 목록'!$E$5:$E$32,MATCH(A26&amp;"|"&amp;B26&amp;"|2",'공중 유닛 목록'!$A$5:$A$32,0)),"")</f>
        <v>호버 건쉽</v>
      </c>
      <c r="N26" s="113">
        <f>IF(MOD(D26,2)=1,COUNTIF('공중 유닛 설정'!$B$21:$B$23,2),COUNTIF('공중 유닛 설정'!$C$21:$C$23,2))</f>
        <v>1</v>
      </c>
      <c r="O26" s="113">
        <f>ROUND('스테이지별 골드'!H26*'공중 유닛 설정'!$C$5,0)</f>
        <v>8008</v>
      </c>
      <c r="P26" s="113">
        <f>ROUND(S26*'공중 유닛 설정'!$C$6,0)</f>
        <v>158</v>
      </c>
      <c r="Q26" s="114">
        <f>'공중 유닛 설정'!$C$7</f>
        <v>0.5</v>
      </c>
      <c r="R26" s="113">
        <f>ROUND('스테이지별 골드'!J26+('스테이지별 골드'!K26-'스테이지별 골드'!J26)*'공중 유닛 설정'!$C$8,0)</f>
        <v>1059</v>
      </c>
      <c r="S26" s="115">
        <v>198</v>
      </c>
      <c r="T26" s="116">
        <f t="shared" si="2"/>
        <v>2883</v>
      </c>
      <c r="U26" s="113">
        <f>H26*L26*'공중 유닛 설정'!$B$10+N26*R26*'공중 유닛 설정'!$C$10</f>
        <v>1729.7999999999997</v>
      </c>
      <c r="V26" s="112">
        <f>'스테이지별 골드'!M26</f>
        <v>43287</v>
      </c>
      <c r="W26" s="117">
        <f t="shared" si="3"/>
        <v>6.6601982119342984E-2</v>
      </c>
      <c r="X26" s="112">
        <f>'허들 설계'!O26</f>
        <v>63150</v>
      </c>
      <c r="Y26" s="116">
        <f t="shared" si="4"/>
        <v>64879.8</v>
      </c>
      <c r="Z26" s="117">
        <f t="shared" si="5"/>
        <v>2.7391923990498945E-2</v>
      </c>
      <c r="AA26" s="112">
        <f>'공중 유닛 드랍'!V26</f>
        <v>17</v>
      </c>
      <c r="AB26" s="112" t="str">
        <f>'공중 유닛 드랍'!Y26</f>
        <v>루비</v>
      </c>
      <c r="AC26" s="112">
        <f>IF(N26=0,"-",'공중 유닛 드랍'!V54)</f>
        <v>21</v>
      </c>
      <c r="AD26" s="112" t="str">
        <f>IF(N26=0,"-",'공중 유닛 드랍'!Y54)</f>
        <v>루비</v>
      </c>
    </row>
    <row r="27" spans="1:30" x14ac:dyDescent="0.3">
      <c r="A27" s="112" t="str">
        <f>'스테이지별 골드'!A27</f>
        <v>미래</v>
      </c>
      <c r="B27" s="112" t="str">
        <f>'스테이지별 골드'!B27</f>
        <v>중국</v>
      </c>
      <c r="C27" s="112" t="str">
        <f>'스테이지별 골드'!C27</f>
        <v>6-3</v>
      </c>
      <c r="D27" s="113">
        <f t="shared" si="0"/>
        <v>23</v>
      </c>
      <c r="E27" s="113">
        <f t="shared" si="1"/>
        <v>6</v>
      </c>
      <c r="F27" s="112" t="str">
        <f>'허들 설계'!F27</f>
        <v>평탄</v>
      </c>
      <c r="G27" s="113" t="str">
        <f>IFERROR(INDEX('공중 유닛 목록'!$E$5:$E$32,MATCH(A27&amp;"|"&amp;B27&amp;"|1",'공중 유닛 목록'!$A$5:$A$32,0)),"")</f>
        <v>등롱 드론</v>
      </c>
      <c r="H27" s="113">
        <f>IF(MOD(D27,2)=1,COUNTIF('공중 유닛 설정'!$B$21:$B$23,1),COUNTIF('공중 유닛 설정'!$C$21:$C$23,1))</f>
        <v>3</v>
      </c>
      <c r="I27" s="113">
        <f>ROUND('스테이지별 골드'!G27*'공중 유닛 설정'!$B$5,0)</f>
        <v>5580</v>
      </c>
      <c r="J27" s="113">
        <f>ROUND(S27*'공중 유닛 설정'!$B$6,0)</f>
        <v>119</v>
      </c>
      <c r="K27" s="114">
        <f>'공중 유닛 설정'!$B$7</f>
        <v>0.5</v>
      </c>
      <c r="L27" s="113">
        <f>ROUND('스테이지별 골드'!J27+('스테이지별 골드'!K27-'스테이지별 골드'!J27)*'공중 유닛 설정'!$B$8,0)</f>
        <v>1102</v>
      </c>
      <c r="M27" s="113" t="str">
        <f>IFERROR(INDEX('공중 유닛 목록'!$E$5:$E$32,MATCH(A27&amp;"|"&amp;B27&amp;"|2",'공중 유닛 목록'!$A$5:$A$32,0)),"")</f>
        <v>제비 요격정</v>
      </c>
      <c r="N27" s="113">
        <f>IF(MOD(D27,2)=1,COUNTIF('공중 유닛 설정'!$B$21:$B$23,2),COUNTIF('공중 유닛 설정'!$C$21:$C$23,2))</f>
        <v>0</v>
      </c>
      <c r="O27" s="113">
        <f>ROUND('스테이지별 골드'!H27*'공중 유닛 설정'!$C$5,0)</f>
        <v>9672</v>
      </c>
      <c r="P27" s="113">
        <f>ROUND(S27*'공중 유닛 설정'!$C$6,0)</f>
        <v>190</v>
      </c>
      <c r="Q27" s="114">
        <f>'공중 유닛 설정'!$C$7</f>
        <v>0.5</v>
      </c>
      <c r="R27" s="113">
        <f>ROUND('스테이지별 골드'!J27+('스테이지별 골드'!K27-'스테이지별 골드'!J27)*'공중 유닛 설정'!$C$8,0)</f>
        <v>1279</v>
      </c>
      <c r="S27" s="115">
        <v>238</v>
      </c>
      <c r="T27" s="116">
        <f t="shared" si="2"/>
        <v>3306</v>
      </c>
      <c r="U27" s="113">
        <f>H27*L27*'공중 유닛 설정'!$B$10+N27*R27*'공중 유닛 설정'!$C$10</f>
        <v>1983.6</v>
      </c>
      <c r="V27" s="112">
        <f>'스테이지별 골드'!M27</f>
        <v>46242</v>
      </c>
      <c r="W27" s="117">
        <f t="shared" si="3"/>
        <v>7.1493447515245875E-2</v>
      </c>
      <c r="X27" s="112">
        <f>'허들 설계'!O27</f>
        <v>72205</v>
      </c>
      <c r="Y27" s="116">
        <f t="shared" si="4"/>
        <v>74188.600000000006</v>
      </c>
      <c r="Z27" s="117">
        <f t="shared" si="5"/>
        <v>2.7471781732567147E-2</v>
      </c>
      <c r="AA27" s="112">
        <f>'공중 유닛 드랍'!V27</f>
        <v>17</v>
      </c>
      <c r="AB27" s="112" t="str">
        <f>'공중 유닛 드랍'!Y27</f>
        <v>루비</v>
      </c>
      <c r="AC27" s="112" t="str">
        <f>IF(N27=0,"-",'공중 유닛 드랍'!V55)</f>
        <v>-</v>
      </c>
      <c r="AD27" s="112" t="str">
        <f>IF(N27=0,"-",'공중 유닛 드랍'!Y55)</f>
        <v>-</v>
      </c>
    </row>
    <row r="28" spans="1:30" x14ac:dyDescent="0.3">
      <c r="A28" s="112" t="str">
        <f>'스테이지별 골드'!A28</f>
        <v>미래</v>
      </c>
      <c r="B28" s="112" t="str">
        <f>'스테이지별 골드'!B28</f>
        <v>중국</v>
      </c>
      <c r="C28" s="112" t="str">
        <f>'스테이지별 골드'!C28</f>
        <v>6-4</v>
      </c>
      <c r="D28" s="113">
        <f t="shared" si="0"/>
        <v>24</v>
      </c>
      <c r="E28" s="113">
        <f t="shared" si="1"/>
        <v>6</v>
      </c>
      <c r="F28" s="112" t="str">
        <f>'허들 설계'!F28</f>
        <v>대허들</v>
      </c>
      <c r="G28" s="113" t="str">
        <f>IFERROR(INDEX('공중 유닛 목록'!$E$5:$E$32,MATCH(A28&amp;"|"&amp;B28&amp;"|1",'공중 유닛 목록'!$A$5:$A$32,0)),"")</f>
        <v>등롱 드론</v>
      </c>
      <c r="H28" s="113">
        <f>IF(MOD(D28,2)=1,COUNTIF('공중 유닛 설정'!$B$21:$B$23,1),COUNTIF('공중 유닛 설정'!$C$21:$C$23,1))</f>
        <v>2</v>
      </c>
      <c r="I28" s="113">
        <f>ROUND('스테이지별 골드'!G28*'공중 유닛 설정'!$B$5,0)</f>
        <v>6960</v>
      </c>
      <c r="J28" s="113">
        <f>ROUND(S28*'공중 유닛 설정'!$B$6,0)</f>
        <v>143</v>
      </c>
      <c r="K28" s="114">
        <f>'공중 유닛 설정'!$B$7</f>
        <v>0.5</v>
      </c>
      <c r="L28" s="113">
        <f>ROUND('스테이지별 골드'!J28+('스테이지별 골드'!K28-'스테이지별 골드'!J28)*'공중 유닛 설정'!$B$8,0)</f>
        <v>1375</v>
      </c>
      <c r="M28" s="113" t="str">
        <f>IFERROR(INDEX('공중 유닛 목록'!$E$5:$E$32,MATCH(A28&amp;"|"&amp;B28&amp;"|2",'공중 유닛 목록'!$A$5:$A$32,0)),"")</f>
        <v>제비 요격정</v>
      </c>
      <c r="N28" s="113">
        <f>IF(MOD(D28,2)=1,COUNTIF('공중 유닛 설정'!$B$21:$B$23,2),COUNTIF('공중 유닛 설정'!$C$21:$C$23,2))</f>
        <v>1</v>
      </c>
      <c r="O28" s="113">
        <f>ROUND('스테이지별 골드'!H28*'공중 유닛 설정'!$C$5,0)</f>
        <v>12064</v>
      </c>
      <c r="P28" s="113">
        <f>ROUND(S28*'공중 유닛 설정'!$C$6,0)</f>
        <v>228</v>
      </c>
      <c r="Q28" s="114">
        <f>'공중 유닛 설정'!$C$7</f>
        <v>0.5</v>
      </c>
      <c r="R28" s="113">
        <f>ROUND('스테이지별 골드'!J28+('스테이지별 골드'!K28-'스테이지별 골드'!J28)*'공중 유닛 설정'!$C$8,0)</f>
        <v>1596</v>
      </c>
      <c r="S28" s="115">
        <v>285</v>
      </c>
      <c r="T28" s="116">
        <f t="shared" si="2"/>
        <v>4346</v>
      </c>
      <c r="U28" s="113">
        <f>H28*L28*'공중 유닛 설정'!$B$10+N28*R28*'공중 유닛 설정'!$C$10</f>
        <v>2607.6</v>
      </c>
      <c r="V28" s="112">
        <f>'스테이지별 골드'!M28</f>
        <v>69350</v>
      </c>
      <c r="W28" s="117">
        <f t="shared" si="3"/>
        <v>6.2667627974044696E-2</v>
      </c>
      <c r="X28" s="112">
        <f>'허들 설계'!O28</f>
        <v>102820</v>
      </c>
      <c r="Y28" s="116">
        <f t="shared" si="4"/>
        <v>105427.6</v>
      </c>
      <c r="Z28" s="117">
        <f t="shared" si="5"/>
        <v>2.5360824742268084E-2</v>
      </c>
      <c r="AA28" s="112">
        <f>'공중 유닛 드랍'!V28</f>
        <v>18</v>
      </c>
      <c r="AB28" s="112" t="str">
        <f>'공중 유닛 드랍'!Y28</f>
        <v>루비</v>
      </c>
      <c r="AC28" s="112">
        <f>IF(N28=0,"-",'공중 유닛 드랍'!V56)</f>
        <v>22</v>
      </c>
      <c r="AD28" s="112" t="str">
        <f>IF(N28=0,"-",'공중 유닛 드랍'!Y56)</f>
        <v>루비</v>
      </c>
    </row>
    <row r="29" spans="1:30" x14ac:dyDescent="0.3">
      <c r="A29" s="106" t="str">
        <f>'스테이지별 골드'!A29</f>
        <v>우주</v>
      </c>
      <c r="B29" s="106" t="str">
        <f>'스테이지별 골드'!B29</f>
        <v>달</v>
      </c>
      <c r="C29" s="106" t="str">
        <f>'스테이지별 골드'!C29</f>
        <v>7-1</v>
      </c>
      <c r="D29" s="107">
        <f t="shared" si="0"/>
        <v>25</v>
      </c>
      <c r="E29" s="107">
        <f t="shared" si="1"/>
        <v>7</v>
      </c>
      <c r="F29" s="106" t="str">
        <f>'허들 설계'!F29</f>
        <v>돌파</v>
      </c>
      <c r="G29" s="107" t="str">
        <f>IFERROR(INDEX('공중 유닛 목록'!$E$5:$E$32,MATCH(A29&amp;"|"&amp;B29&amp;"|1",'공중 유닛 목록'!$A$5:$A$32,0)),"")</f>
        <v>달 순찰정</v>
      </c>
      <c r="H29" s="107">
        <f>IF(MOD(D29,2)=1,COUNTIF('공중 유닛 설정'!$B$21:$B$23,1),COUNTIF('공중 유닛 설정'!$C$21:$C$23,1))</f>
        <v>3</v>
      </c>
      <c r="I29" s="107">
        <f>ROUND('스테이지별 골드'!G29*'공중 유닛 설정'!$B$5,0)</f>
        <v>8400</v>
      </c>
      <c r="J29" s="107">
        <f>ROUND(S29*'공중 유닛 설정'!$B$6,0)</f>
        <v>170</v>
      </c>
      <c r="K29" s="108">
        <f>'공중 유닛 설정'!$B$7</f>
        <v>0.5</v>
      </c>
      <c r="L29" s="107">
        <f>ROUND('스테이지별 골드'!J29+('스테이지별 골드'!K29-'스테이지별 골드'!J29)*'공중 유닛 설정'!$B$8,0)</f>
        <v>1659</v>
      </c>
      <c r="M29" s="107" t="str">
        <f>IFERROR(INDEX('공중 유닛 목록'!$E$5:$E$32,MATCH(A29&amp;"|"&amp;B29&amp;"|2",'공중 유닛 목록'!$A$5:$A$32,0)),"")</f>
        <v>궤도 방어구</v>
      </c>
      <c r="N29" s="107">
        <f>IF(MOD(D29,2)=1,COUNTIF('공중 유닛 설정'!$B$21:$B$23,2),COUNTIF('공중 유닛 설정'!$C$21:$C$23,2))</f>
        <v>0</v>
      </c>
      <c r="O29" s="107">
        <f>ROUND('스테이지별 골드'!H29*'공중 유닛 설정'!$C$5,0)</f>
        <v>14560</v>
      </c>
      <c r="P29" s="107">
        <f>ROUND(S29*'공중 유닛 설정'!$C$6,0)</f>
        <v>272</v>
      </c>
      <c r="Q29" s="108">
        <f>'공중 유닛 설정'!$C$7</f>
        <v>0.5</v>
      </c>
      <c r="R29" s="107">
        <f>ROUND('스테이지별 골드'!J29+('스테이지별 골드'!K29-'스테이지별 골드'!J29)*'공중 유닛 설정'!$C$8,0)</f>
        <v>1925</v>
      </c>
      <c r="S29" s="109">
        <v>340</v>
      </c>
      <c r="T29" s="110">
        <f t="shared" si="2"/>
        <v>4977</v>
      </c>
      <c r="U29" s="107">
        <f>H29*L29*'공중 유닛 설정'!$B$10+N29*R29*'공중 유닛 설정'!$C$10</f>
        <v>2986.2</v>
      </c>
      <c r="V29" s="106">
        <f>'스테이지별 골드'!M29</f>
        <v>74592</v>
      </c>
      <c r="W29" s="111">
        <f t="shared" si="3"/>
        <v>6.6722972972972971E-2</v>
      </c>
      <c r="X29" s="106">
        <f>'허들 설계'!O29</f>
        <v>117875</v>
      </c>
      <c r="Y29" s="110">
        <f t="shared" si="4"/>
        <v>120861.2</v>
      </c>
      <c r="Z29" s="111">
        <f t="shared" si="5"/>
        <v>2.5333616118769831E-2</v>
      </c>
      <c r="AA29" s="106">
        <f>'공중 유닛 드랍'!V29</f>
        <v>19</v>
      </c>
      <c r="AB29" s="106" t="str">
        <f>'공중 유닛 드랍'!Y29</f>
        <v>루비</v>
      </c>
      <c r="AC29" s="106" t="str">
        <f>IF(N29=0,"-",'공중 유닛 드랍'!V57)</f>
        <v>-</v>
      </c>
      <c r="AD29" s="106" t="str">
        <f>IF(N29=0,"-",'공중 유닛 드랍'!Y57)</f>
        <v>-</v>
      </c>
    </row>
    <row r="30" spans="1:30" x14ac:dyDescent="0.3">
      <c r="A30" s="106" t="str">
        <f>'스테이지별 골드'!A30</f>
        <v>우주</v>
      </c>
      <c r="B30" s="106" t="str">
        <f>'스테이지별 골드'!B30</f>
        <v>달</v>
      </c>
      <c r="C30" s="106" t="str">
        <f>'스테이지별 골드'!C30</f>
        <v>7-2</v>
      </c>
      <c r="D30" s="107">
        <f t="shared" si="0"/>
        <v>26</v>
      </c>
      <c r="E30" s="107">
        <f t="shared" si="1"/>
        <v>7</v>
      </c>
      <c r="F30" s="106" t="str">
        <f>'허들 설계'!F30</f>
        <v>소허들</v>
      </c>
      <c r="G30" s="107" t="str">
        <f>IFERROR(INDEX('공중 유닛 목록'!$E$5:$E$32,MATCH(A30&amp;"|"&amp;B30&amp;"|1",'공중 유닛 목록'!$A$5:$A$32,0)),"")</f>
        <v>달 순찰정</v>
      </c>
      <c r="H30" s="107">
        <f>IF(MOD(D30,2)=1,COUNTIF('공중 유닛 설정'!$B$21:$B$23,1),COUNTIF('공중 유닛 설정'!$C$21:$C$23,1))</f>
        <v>2</v>
      </c>
      <c r="I30" s="107">
        <f>ROUND('스테이지별 골드'!G30*'공중 유닛 설정'!$B$5,0)</f>
        <v>10500</v>
      </c>
      <c r="J30" s="107">
        <f>ROUND(S30*'공중 유닛 설정'!$B$6,0)</f>
        <v>205</v>
      </c>
      <c r="K30" s="108">
        <f>'공중 유닛 설정'!$B$7</f>
        <v>0.5</v>
      </c>
      <c r="L30" s="107">
        <f>ROUND('스테이지별 골드'!J30+('스테이지별 골드'!K30-'스테이지별 골드'!J30)*'공중 유닛 설정'!$B$8,0)</f>
        <v>2073</v>
      </c>
      <c r="M30" s="107" t="str">
        <f>IFERROR(INDEX('공중 유닛 목록'!$E$5:$E$32,MATCH(A30&amp;"|"&amp;B30&amp;"|2",'공중 유닛 목록'!$A$5:$A$32,0)),"")</f>
        <v>궤도 방어구</v>
      </c>
      <c r="N30" s="107">
        <f>IF(MOD(D30,2)=1,COUNTIF('공중 유닛 설정'!$B$21:$B$23,2),COUNTIF('공중 유닛 설정'!$C$21:$C$23,2))</f>
        <v>1</v>
      </c>
      <c r="O30" s="107">
        <f>ROUND('스테이지별 골드'!H30*'공중 유닛 설정'!$C$5,0)</f>
        <v>18200</v>
      </c>
      <c r="P30" s="107">
        <f>ROUND(S30*'공중 유닛 설정'!$C$6,0)</f>
        <v>328</v>
      </c>
      <c r="Q30" s="108">
        <f>'공중 유닛 설정'!$C$7</f>
        <v>0.5</v>
      </c>
      <c r="R30" s="107">
        <f>ROUND('스테이지별 골드'!J30+('스테이지별 골드'!K30-'스테이지별 골드'!J30)*'공중 유닛 설정'!$C$8,0)</f>
        <v>2407</v>
      </c>
      <c r="S30" s="109">
        <v>410</v>
      </c>
      <c r="T30" s="110">
        <f t="shared" si="2"/>
        <v>6553</v>
      </c>
      <c r="U30" s="107">
        <f>H30*L30*'공중 유닛 설정'!$B$10+N30*R30*'공중 유닛 설정'!$C$10</f>
        <v>3931.8</v>
      </c>
      <c r="V30" s="106">
        <f>'스테이지별 골드'!M30</f>
        <v>110845</v>
      </c>
      <c r="W30" s="111">
        <f t="shared" si="3"/>
        <v>5.911858902070459E-2</v>
      </c>
      <c r="X30" s="106">
        <f>'허들 설계'!O30</f>
        <v>161980</v>
      </c>
      <c r="Y30" s="110">
        <f t="shared" si="4"/>
        <v>165911.79999999999</v>
      </c>
      <c r="Z30" s="111">
        <f t="shared" si="5"/>
        <v>2.4273367082355835E-2</v>
      </c>
      <c r="AA30" s="106">
        <f>'공중 유닛 드랍'!V30</f>
        <v>20</v>
      </c>
      <c r="AB30" s="106" t="str">
        <f>'공중 유닛 드랍'!Y30</f>
        <v>루비</v>
      </c>
      <c r="AC30" s="106">
        <f>IF(N30=0,"-",'공중 유닛 드랍'!V58)</f>
        <v>25</v>
      </c>
      <c r="AD30" s="106" t="str">
        <f>IF(N30=0,"-",'공중 유닛 드랍'!Y58)</f>
        <v>루비</v>
      </c>
    </row>
    <row r="31" spans="1:30" x14ac:dyDescent="0.3">
      <c r="A31" s="106" t="str">
        <f>'스테이지별 골드'!A31</f>
        <v>우주</v>
      </c>
      <c r="B31" s="106" t="str">
        <f>'스테이지별 골드'!B31</f>
        <v>화성</v>
      </c>
      <c r="C31" s="106" t="str">
        <f>'스테이지별 골드'!C31</f>
        <v>7-3</v>
      </c>
      <c r="D31" s="107">
        <f t="shared" si="0"/>
        <v>27</v>
      </c>
      <c r="E31" s="107">
        <f t="shared" si="1"/>
        <v>7</v>
      </c>
      <c r="F31" s="106" t="str">
        <f>'허들 설계'!F31</f>
        <v>평탄</v>
      </c>
      <c r="G31" s="107" t="str">
        <f>IFERROR(INDEX('공중 유닛 목록'!$E$5:$E$32,MATCH(A31&amp;"|"&amp;B31&amp;"|1",'공중 유닛 목록'!$A$5:$A$32,0)),"")</f>
        <v>화성 정찰 드론</v>
      </c>
      <c r="H31" s="107">
        <f>IF(MOD(D31,2)=1,COUNTIF('공중 유닛 설정'!$B$21:$B$23,1),COUNTIF('공중 유닛 설정'!$C$21:$C$23,1))</f>
        <v>3</v>
      </c>
      <c r="I31" s="107">
        <f>ROUND('스테이지별 골드'!G31*'공중 유닛 설정'!$B$5,0)</f>
        <v>12600</v>
      </c>
      <c r="J31" s="107">
        <f>ROUND(S31*'공중 유닛 설정'!$B$6,0)</f>
        <v>245</v>
      </c>
      <c r="K31" s="108">
        <f>'공중 유닛 설정'!$B$7</f>
        <v>0.5</v>
      </c>
      <c r="L31" s="107">
        <f>ROUND('스테이지별 골드'!J31+('스테이지별 골드'!K31-'스테이지별 골드'!J31)*'공중 유닛 설정'!$B$8,0)</f>
        <v>2488</v>
      </c>
      <c r="M31" s="107" t="str">
        <f>IFERROR(INDEX('공중 유닛 목록'!$E$5:$E$32,MATCH(A31&amp;"|"&amp;B31&amp;"|2",'공중 유닛 목록'!$A$5:$A$32,0)),"")</f>
        <v>화성 강습 셔틀</v>
      </c>
      <c r="N31" s="107">
        <f>IF(MOD(D31,2)=1,COUNTIF('공중 유닛 설정'!$B$21:$B$23,2),COUNTIF('공중 유닛 설정'!$C$21:$C$23,2))</f>
        <v>0</v>
      </c>
      <c r="O31" s="107">
        <f>ROUND('스테이지별 골드'!H31*'공중 유닛 설정'!$C$5,0)</f>
        <v>21840</v>
      </c>
      <c r="P31" s="107">
        <f>ROUND(S31*'공중 유닛 설정'!$C$6,0)</f>
        <v>392</v>
      </c>
      <c r="Q31" s="108">
        <f>'공중 유닛 설정'!$C$7</f>
        <v>0.5</v>
      </c>
      <c r="R31" s="107">
        <f>ROUND('스테이지별 골드'!J31+('스테이지별 골드'!K31-'스테이지별 골드'!J31)*'공중 유닛 설정'!$C$8,0)</f>
        <v>2888</v>
      </c>
      <c r="S31" s="109">
        <v>490</v>
      </c>
      <c r="T31" s="110">
        <f t="shared" si="2"/>
        <v>7464</v>
      </c>
      <c r="U31" s="107">
        <f>H31*L31*'공중 유닛 설정'!$B$10+N31*R31*'공중 유닛 설정'!$C$10</f>
        <v>4478.3999999999996</v>
      </c>
      <c r="V31" s="106">
        <f>'스테이지별 골드'!M31</f>
        <v>119364</v>
      </c>
      <c r="W31" s="111">
        <f t="shared" si="3"/>
        <v>6.2531416507489695E-2</v>
      </c>
      <c r="X31" s="106">
        <f>'허들 설계'!O31</f>
        <v>187525</v>
      </c>
      <c r="Y31" s="110">
        <f t="shared" si="4"/>
        <v>192003.4</v>
      </c>
      <c r="Z31" s="111">
        <f t="shared" si="5"/>
        <v>2.3881615784562049E-2</v>
      </c>
      <c r="AA31" s="106">
        <f>'공중 유닛 드랍'!V31</f>
        <v>20</v>
      </c>
      <c r="AB31" s="106" t="str">
        <f>'공중 유닛 드랍'!Y31</f>
        <v>루비</v>
      </c>
      <c r="AC31" s="106" t="str">
        <f>IF(N31=0,"-",'공중 유닛 드랍'!V59)</f>
        <v>-</v>
      </c>
      <c r="AD31" s="106" t="str">
        <f>IF(N31=0,"-",'공중 유닛 드랍'!Y59)</f>
        <v>-</v>
      </c>
    </row>
    <row r="32" spans="1:30" x14ac:dyDescent="0.3">
      <c r="A32" s="106" t="str">
        <f>'스테이지별 골드'!A32</f>
        <v>우주</v>
      </c>
      <c r="B32" s="106" t="str">
        <f>'스테이지별 골드'!B32</f>
        <v>화성</v>
      </c>
      <c r="C32" s="106" t="str">
        <f>'스테이지별 골드'!C32</f>
        <v>7-4</v>
      </c>
      <c r="D32" s="107">
        <f t="shared" si="0"/>
        <v>28</v>
      </c>
      <c r="E32" s="107">
        <f t="shared" si="1"/>
        <v>7</v>
      </c>
      <c r="F32" s="106" t="str">
        <f>'허들 설계'!F32</f>
        <v>대허들</v>
      </c>
      <c r="G32" s="107" t="str">
        <f>IFERROR(INDEX('공중 유닛 목록'!$E$5:$E$32,MATCH(A32&amp;"|"&amp;B32&amp;"|1",'공중 유닛 목록'!$A$5:$A$32,0)),"")</f>
        <v>화성 정찰 드론</v>
      </c>
      <c r="H32" s="107">
        <f>IF(MOD(D32,2)=1,COUNTIF('공중 유닛 설정'!$B$21:$B$23,1),COUNTIF('공중 유닛 설정'!$C$21:$C$23,1))</f>
        <v>2</v>
      </c>
      <c r="I32" s="107">
        <f>ROUND('스테이지별 골드'!G32*'공중 유닛 설정'!$B$5,0)</f>
        <v>15600</v>
      </c>
      <c r="J32" s="107">
        <f>ROUND(S32*'공중 유닛 설정'!$B$6,0)</f>
        <v>295</v>
      </c>
      <c r="K32" s="108">
        <f>'공중 유닛 설정'!$B$7</f>
        <v>0.5</v>
      </c>
      <c r="L32" s="107">
        <f>ROUND('스테이지별 골드'!J32+('스테이지별 골드'!K32-'스테이지별 골드'!J32)*'공중 유닛 설정'!$B$8,0)</f>
        <v>3080</v>
      </c>
      <c r="M32" s="107" t="str">
        <f>IFERROR(INDEX('공중 유닛 목록'!$E$5:$E$32,MATCH(A32&amp;"|"&amp;B32&amp;"|2",'공중 유닛 목록'!$A$5:$A$32,0)),"")</f>
        <v>화성 강습 셔틀</v>
      </c>
      <c r="N32" s="107">
        <f>IF(MOD(D32,2)=1,COUNTIF('공중 유닛 설정'!$B$21:$B$23,2),COUNTIF('공중 유닛 설정'!$C$21:$C$23,2))</f>
        <v>1</v>
      </c>
      <c r="O32" s="107">
        <f>ROUND('스테이지별 골드'!H32*'공중 유닛 설정'!$C$5,0)</f>
        <v>27040</v>
      </c>
      <c r="P32" s="107">
        <f>ROUND(S32*'공중 유닛 설정'!$C$6,0)</f>
        <v>472</v>
      </c>
      <c r="Q32" s="108">
        <f>'공중 유닛 설정'!$C$7</f>
        <v>0.5</v>
      </c>
      <c r="R32" s="107">
        <f>ROUND('스테이지별 골드'!J32+('스테이지별 골드'!K32-'스테이지별 골드'!J32)*'공중 유닛 설정'!$C$8,0)</f>
        <v>3576</v>
      </c>
      <c r="S32" s="109">
        <v>590</v>
      </c>
      <c r="T32" s="110">
        <f t="shared" si="2"/>
        <v>9736</v>
      </c>
      <c r="U32" s="107">
        <f>H32*L32*'공중 유닛 설정'!$B$10+N32*R32*'공중 유닛 설정'!$C$10</f>
        <v>5841.6</v>
      </c>
      <c r="V32" s="106">
        <f>'스테이지별 골드'!M32</f>
        <v>173940</v>
      </c>
      <c r="W32" s="111">
        <f t="shared" si="3"/>
        <v>5.5973324134759112E-2</v>
      </c>
      <c r="X32" s="106">
        <f>'허들 설계'!O32</f>
        <v>251640</v>
      </c>
      <c r="Y32" s="110">
        <f t="shared" si="4"/>
        <v>257481.60000000001</v>
      </c>
      <c r="Z32" s="111">
        <f t="shared" si="5"/>
        <v>2.3214115402956592E-2</v>
      </c>
      <c r="AA32" s="106">
        <f>'공중 유닛 드랍'!V32</f>
        <v>20</v>
      </c>
      <c r="AB32" s="106" t="str">
        <f>'공중 유닛 드랍'!Y32</f>
        <v>루비</v>
      </c>
      <c r="AC32" s="106">
        <f>IF(N32=0,"-",'공중 유닛 드랍'!V60)</f>
        <v>26</v>
      </c>
      <c r="AD32" s="106" t="str">
        <f>IF(N32=0,"-",'공중 유닛 드랍'!Y60)</f>
        <v>루비</v>
      </c>
    </row>
    <row r="33" spans="1:30" x14ac:dyDescent="0.3">
      <c r="A33" s="137" t="s">
        <v>15</v>
      </c>
      <c r="B33" s="138"/>
      <c r="C33" s="138"/>
      <c r="D33" s="138"/>
      <c r="E33" s="138"/>
      <c r="F33" s="138"/>
      <c r="G33" s="118"/>
      <c r="H33" s="118">
        <f>SUM(H5:H32)</f>
        <v>70</v>
      </c>
      <c r="I33" s="118"/>
      <c r="J33" s="118"/>
      <c r="K33" s="118"/>
      <c r="L33" s="118"/>
      <c r="M33" s="118"/>
      <c r="N33" s="118">
        <f>SUM(N5:N32)</f>
        <v>14</v>
      </c>
      <c r="O33" s="118"/>
      <c r="P33" s="118"/>
      <c r="Q33" s="118"/>
      <c r="R33" s="118"/>
      <c r="S33" s="118"/>
      <c r="T33" s="118">
        <f>SUM(T5:T32)</f>
        <v>51328</v>
      </c>
      <c r="U33" s="118">
        <f>SUM(U5:U32)</f>
        <v>30796.799999999996</v>
      </c>
      <c r="V33" s="118">
        <f>SUM(V5:V32)</f>
        <v>778681</v>
      </c>
      <c r="W33" s="119">
        <f t="shared" si="3"/>
        <v>6.5916594857200833E-2</v>
      </c>
      <c r="X33" s="118">
        <f>SUM(X5:X32)</f>
        <v>1177445.2</v>
      </c>
      <c r="Y33" s="118">
        <f>SUM(Y5:Y32)</f>
        <v>1208242</v>
      </c>
      <c r="Z33" s="119">
        <f t="shared" si="5"/>
        <v>2.6155612167767961E-2</v>
      </c>
      <c r="AA33" s="118"/>
      <c r="AB33" s="118"/>
      <c r="AC33" s="118"/>
      <c r="AD33" s="118"/>
    </row>
  </sheetData>
  <mergeCells count="7">
    <mergeCell ref="A33:F33"/>
    <mergeCell ref="T3:W3"/>
    <mergeCell ref="AA3:AD3"/>
    <mergeCell ref="G3:L3"/>
    <mergeCell ref="M3:R3"/>
    <mergeCell ref="X3:Z3"/>
    <mergeCell ref="A3:F3"/>
  </mergeCells>
  <phoneticPr fontId="9" type="noConversion"/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6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0" customWidth="1"/>
    <col min="2" max="2" width="8" customWidth="1"/>
    <col min="3" max="4" width="6" customWidth="1"/>
    <col min="5" max="5" width="9" customWidth="1"/>
    <col min="6" max="6" width="7" customWidth="1"/>
    <col min="7" max="8" width="8" customWidth="1"/>
    <col min="9" max="9" width="9" customWidth="1"/>
    <col min="10" max="15" width="7" customWidth="1"/>
    <col min="16" max="16" width="6" customWidth="1"/>
    <col min="17" max="17" width="8" customWidth="1"/>
    <col min="18" max="18" width="6" customWidth="1"/>
    <col min="19" max="19" width="8" customWidth="1"/>
    <col min="20" max="20" width="6" customWidth="1"/>
    <col min="21" max="21" width="7" customWidth="1"/>
    <col min="22" max="24" width="8" customWidth="1"/>
    <col min="25" max="25" width="9" customWidth="1"/>
    <col min="26" max="26" width="11" customWidth="1"/>
    <col min="27" max="27" width="8" customWidth="1"/>
    <col min="28" max="28" width="9" customWidth="1"/>
  </cols>
  <sheetData>
    <row r="1" spans="1:28" ht="20.25" x14ac:dyDescent="0.35">
      <c r="A1" s="81" t="s">
        <v>462</v>
      </c>
    </row>
    <row r="2" spans="1:28" x14ac:dyDescent="0.3">
      <c r="A2" s="82" t="s">
        <v>463</v>
      </c>
    </row>
    <row r="3" spans="1:28" x14ac:dyDescent="0.3">
      <c r="O3" s="82" t="s">
        <v>240</v>
      </c>
      <c r="P3" s="120">
        <f>설정!$B$20</f>
        <v>1000</v>
      </c>
      <c r="Q3" s="120">
        <f>설정!$B$19</f>
        <v>500</v>
      </c>
      <c r="R3" s="120">
        <f>설정!$B$18</f>
        <v>100</v>
      </c>
      <c r="S3" s="120">
        <f>설정!$B$17</f>
        <v>25</v>
      </c>
      <c r="T3" s="120">
        <f>설정!$B$16</f>
        <v>5</v>
      </c>
      <c r="U3" s="120">
        <f>설정!$B$15</f>
        <v>1</v>
      </c>
    </row>
    <row r="4" spans="1:28" ht="27" x14ac:dyDescent="0.3">
      <c r="A4" s="83" t="s">
        <v>464</v>
      </c>
      <c r="B4" s="83" t="s">
        <v>80</v>
      </c>
      <c r="C4" s="83" t="s">
        <v>219</v>
      </c>
      <c r="D4" s="83" t="s">
        <v>2</v>
      </c>
      <c r="E4" s="83" t="s">
        <v>247</v>
      </c>
      <c r="F4" s="83" t="s">
        <v>445</v>
      </c>
      <c r="G4" s="83" t="s">
        <v>249</v>
      </c>
      <c r="H4" s="83" t="s">
        <v>250</v>
      </c>
      <c r="I4" s="83" t="s">
        <v>251</v>
      </c>
      <c r="J4" s="83" t="s">
        <v>252</v>
      </c>
      <c r="K4" s="83" t="s">
        <v>253</v>
      </c>
      <c r="L4" s="83" t="s">
        <v>254</v>
      </c>
      <c r="M4" s="83" t="s">
        <v>255</v>
      </c>
      <c r="N4" s="83" t="s">
        <v>256</v>
      </c>
      <c r="O4" s="83" t="s">
        <v>257</v>
      </c>
      <c r="P4" s="83" t="s">
        <v>64</v>
      </c>
      <c r="Q4" s="83" t="s">
        <v>63</v>
      </c>
      <c r="R4" s="83" t="s">
        <v>62</v>
      </c>
      <c r="S4" s="83" t="s">
        <v>61</v>
      </c>
      <c r="T4" s="83" t="s">
        <v>60</v>
      </c>
      <c r="U4" s="83" t="s">
        <v>59</v>
      </c>
      <c r="V4" s="83" t="s">
        <v>243</v>
      </c>
      <c r="W4" s="83" t="s">
        <v>258</v>
      </c>
      <c r="X4" s="83" t="s">
        <v>259</v>
      </c>
      <c r="Y4" s="83" t="s">
        <v>260</v>
      </c>
      <c r="Z4" s="83" t="s">
        <v>465</v>
      </c>
      <c r="AA4" s="83" t="s">
        <v>466</v>
      </c>
      <c r="AB4" s="83" t="s">
        <v>262</v>
      </c>
    </row>
    <row r="5" spans="1:28" x14ac:dyDescent="0.3">
      <c r="A5" s="110" t="s">
        <v>266</v>
      </c>
      <c r="B5" s="106" t="str">
        <f>'공중 유닛 배치'!C5</f>
        <v>1-1</v>
      </c>
      <c r="C5" s="106">
        <f>'공중 유닛 배치'!D5</f>
        <v>1</v>
      </c>
      <c r="D5" s="107">
        <f t="shared" ref="D5:D36" si="0">INT((C5-1)/4)+1</f>
        <v>1</v>
      </c>
      <c r="E5" s="106">
        <f>'공중 유닛 배치'!L5</f>
        <v>12</v>
      </c>
      <c r="F5" s="106">
        <f>'공중 유닛 배치'!H5</f>
        <v>3</v>
      </c>
      <c r="G5" s="107">
        <f>ROUND('공중 유닛 설정'!$B$12*(1+'공중 유닛 설정'!$B$13)^(C5-1)*(1+'공중 유닛 설정'!$B$14)^(D5-1),0)</f>
        <v>8</v>
      </c>
      <c r="H5" s="108">
        <f t="shared" ref="H5:H36" si="1">IF(G5=0,0,E5/G5)</f>
        <v>1.5</v>
      </c>
      <c r="I5" s="107">
        <f>COUNTIF(설정!$C$34:$C$39,"&lt;="&amp;MAX(1,C5-'공중 유닛 설정'!$B$15))</f>
        <v>2</v>
      </c>
      <c r="J5" s="107">
        <f>MIN(I5,MAX(1,COUNTIF(설정!$B$15:$B$20,"&lt;="&amp;H5)))</f>
        <v>1</v>
      </c>
      <c r="K5" s="107">
        <f t="shared" ref="K5:K36" si="2">IF(J5&lt;I5,J5+1,J5)</f>
        <v>2</v>
      </c>
      <c r="L5" s="107">
        <f>INDEX(설정!$B$15:$B$20,J5)</f>
        <v>1</v>
      </c>
      <c r="M5" s="107">
        <f>INDEX(설정!$B$15:$B$20,K5)</f>
        <v>5</v>
      </c>
      <c r="N5" s="107">
        <f t="shared" ref="N5:N36" si="3">IF(K5=J5,0,MIN(G5,MAX(0,ROUND((E5-G5*L5)/(M5-L5),0))))</f>
        <v>1</v>
      </c>
      <c r="O5" s="107">
        <f t="shared" ref="O5:O36" si="4">IF(K5=J5,ROUND(E5/L5,0),G5-N5)</f>
        <v>7</v>
      </c>
      <c r="P5" s="107">
        <f t="shared" ref="P5:P36" si="5">IF($K5=6,$N5,0)+IF($J5=6,$O5,0)</f>
        <v>0</v>
      </c>
      <c r="Q5" s="107">
        <f t="shared" ref="Q5:Q36" si="6">IF($K5=5,$N5,0)+IF($J5=5,$O5,0)</f>
        <v>0</v>
      </c>
      <c r="R5" s="107">
        <f t="shared" ref="R5:R36" si="7">IF($K5=4,$N5,0)+IF($J5=4,$O5,0)</f>
        <v>0</v>
      </c>
      <c r="S5" s="107">
        <f t="shared" ref="S5:S36" si="8">IF($K5=3,$N5,0)+IF($J5=3,$O5,0)</f>
        <v>0</v>
      </c>
      <c r="T5" s="107">
        <f t="shared" ref="T5:T36" si="9">IF($K5=2,$N5,0)+IF($J5=2,$O5,0)</f>
        <v>1</v>
      </c>
      <c r="U5" s="107">
        <f t="shared" ref="U5:U36" si="10">IF($K5=1,$N5,0)+IF($J5=1,$O5,0)</f>
        <v>7</v>
      </c>
      <c r="V5" s="110">
        <f t="shared" ref="V5:V36" si="11">SUM(P5:U5)</f>
        <v>8</v>
      </c>
      <c r="W5" s="107">
        <f t="shared" ref="W5:W36" si="12">SUMPRODUCT(P5:U5,$P$3:$U$3)</f>
        <v>12</v>
      </c>
      <c r="X5" s="121">
        <f t="shared" ref="X5:X36" si="13">IF(E5=0,0,W5/E5-1)</f>
        <v>0</v>
      </c>
      <c r="Y5" s="107" t="str">
        <f>INDEX(설정!$A$15:$A$20,IF(N5*M5&gt;=O5*L5,K5,J5))</f>
        <v>금 코인</v>
      </c>
      <c r="Z5" s="107">
        <f>ROUND(V5*'공중 유닛 설정'!$B$11,0)</f>
        <v>0</v>
      </c>
      <c r="AA5" s="107">
        <f t="shared" ref="AA5:AA36" si="14">V5-Z5</f>
        <v>8</v>
      </c>
      <c r="AB5" s="107" t="s">
        <v>231</v>
      </c>
    </row>
    <row r="6" spans="1:28" x14ac:dyDescent="0.3">
      <c r="A6" s="110" t="s">
        <v>266</v>
      </c>
      <c r="B6" s="106" t="str">
        <f>'공중 유닛 배치'!C6</f>
        <v>1-2</v>
      </c>
      <c r="C6" s="106">
        <f>'공중 유닛 배치'!D6</f>
        <v>2</v>
      </c>
      <c r="D6" s="107">
        <f t="shared" si="0"/>
        <v>1</v>
      </c>
      <c r="E6" s="106">
        <f>'공중 유닛 배치'!L6</f>
        <v>15</v>
      </c>
      <c r="F6" s="106">
        <f>'공중 유닛 배치'!H6</f>
        <v>2</v>
      </c>
      <c r="G6" s="107">
        <f>ROUND('공중 유닛 설정'!$B$12*(1+'공중 유닛 설정'!$B$13)^(C6-1)*(1+'공중 유닛 설정'!$B$14)^(D6-1),0)</f>
        <v>8</v>
      </c>
      <c r="H6" s="108">
        <f t="shared" si="1"/>
        <v>1.875</v>
      </c>
      <c r="I6" s="107">
        <f>COUNTIF(설정!$C$34:$C$39,"&lt;="&amp;MAX(1,C6-'공중 유닛 설정'!$B$15))</f>
        <v>2</v>
      </c>
      <c r="J6" s="107">
        <f>MIN(I6,MAX(1,COUNTIF(설정!$B$15:$B$20,"&lt;="&amp;H6)))</f>
        <v>1</v>
      </c>
      <c r="K6" s="107">
        <f t="shared" si="2"/>
        <v>2</v>
      </c>
      <c r="L6" s="107">
        <f>INDEX(설정!$B$15:$B$20,J6)</f>
        <v>1</v>
      </c>
      <c r="M6" s="107">
        <f>INDEX(설정!$B$15:$B$20,K6)</f>
        <v>5</v>
      </c>
      <c r="N6" s="107">
        <f t="shared" si="3"/>
        <v>2</v>
      </c>
      <c r="O6" s="107">
        <f t="shared" si="4"/>
        <v>6</v>
      </c>
      <c r="P6" s="107">
        <f t="shared" si="5"/>
        <v>0</v>
      </c>
      <c r="Q6" s="107">
        <f t="shared" si="6"/>
        <v>0</v>
      </c>
      <c r="R6" s="107">
        <f t="shared" si="7"/>
        <v>0</v>
      </c>
      <c r="S6" s="107">
        <f t="shared" si="8"/>
        <v>0</v>
      </c>
      <c r="T6" s="107">
        <f t="shared" si="9"/>
        <v>2</v>
      </c>
      <c r="U6" s="107">
        <f t="shared" si="10"/>
        <v>6</v>
      </c>
      <c r="V6" s="110">
        <f t="shared" si="11"/>
        <v>8</v>
      </c>
      <c r="W6" s="107">
        <f t="shared" si="12"/>
        <v>16</v>
      </c>
      <c r="X6" s="121">
        <f t="shared" si="13"/>
        <v>6.6666666666666652E-2</v>
      </c>
      <c r="Y6" s="107" t="str">
        <f>INDEX(설정!$A$15:$A$20,IF(N6*M6&gt;=O6*L6,K6,J6))</f>
        <v>금괴</v>
      </c>
      <c r="Z6" s="107">
        <f>ROUND(V6*'공중 유닛 설정'!$B$11,0)</f>
        <v>0</v>
      </c>
      <c r="AA6" s="107">
        <f t="shared" si="14"/>
        <v>8</v>
      </c>
      <c r="AB6" s="107">
        <f t="shared" ref="AB6:AB32" si="15">V6-V5</f>
        <v>0</v>
      </c>
    </row>
    <row r="7" spans="1:28" x14ac:dyDescent="0.3">
      <c r="A7" s="110" t="s">
        <v>266</v>
      </c>
      <c r="B7" s="106" t="str">
        <f>'공중 유닛 배치'!C7</f>
        <v>1-3</v>
      </c>
      <c r="C7" s="106">
        <f>'공중 유닛 배치'!D7</f>
        <v>3</v>
      </c>
      <c r="D7" s="107">
        <f t="shared" si="0"/>
        <v>1</v>
      </c>
      <c r="E7" s="106">
        <f>'공중 유닛 배치'!L7</f>
        <v>18</v>
      </c>
      <c r="F7" s="106">
        <f>'공중 유닛 배치'!H7</f>
        <v>3</v>
      </c>
      <c r="G7" s="107">
        <f>ROUND('공중 유닛 설정'!$B$12*(1+'공중 유닛 설정'!$B$13)^(C7-1)*(1+'공중 유닛 설정'!$B$14)^(D7-1),0)</f>
        <v>8</v>
      </c>
      <c r="H7" s="108">
        <f t="shared" si="1"/>
        <v>2.25</v>
      </c>
      <c r="I7" s="107">
        <f>COUNTIF(설정!$C$34:$C$39,"&lt;="&amp;MAX(1,C7-'공중 유닛 설정'!$B$15))</f>
        <v>2</v>
      </c>
      <c r="J7" s="107">
        <f>MIN(I7,MAX(1,COUNTIF(설정!$B$15:$B$20,"&lt;="&amp;H7)))</f>
        <v>1</v>
      </c>
      <c r="K7" s="107">
        <f t="shared" si="2"/>
        <v>2</v>
      </c>
      <c r="L7" s="107">
        <f>INDEX(설정!$B$15:$B$20,J7)</f>
        <v>1</v>
      </c>
      <c r="M7" s="107">
        <f>INDEX(설정!$B$15:$B$20,K7)</f>
        <v>5</v>
      </c>
      <c r="N7" s="107">
        <f t="shared" si="3"/>
        <v>3</v>
      </c>
      <c r="O7" s="107">
        <f t="shared" si="4"/>
        <v>5</v>
      </c>
      <c r="P7" s="107">
        <f t="shared" si="5"/>
        <v>0</v>
      </c>
      <c r="Q7" s="107">
        <f t="shared" si="6"/>
        <v>0</v>
      </c>
      <c r="R7" s="107">
        <f t="shared" si="7"/>
        <v>0</v>
      </c>
      <c r="S7" s="107">
        <f t="shared" si="8"/>
        <v>0</v>
      </c>
      <c r="T7" s="107">
        <f t="shared" si="9"/>
        <v>3</v>
      </c>
      <c r="U7" s="107">
        <f t="shared" si="10"/>
        <v>5</v>
      </c>
      <c r="V7" s="110">
        <f t="shared" si="11"/>
        <v>8</v>
      </c>
      <c r="W7" s="107">
        <f t="shared" si="12"/>
        <v>20</v>
      </c>
      <c r="X7" s="121">
        <f t="shared" si="13"/>
        <v>0.11111111111111116</v>
      </c>
      <c r="Y7" s="107" t="str">
        <f>INDEX(설정!$A$15:$A$20,IF(N7*M7&gt;=O7*L7,K7,J7))</f>
        <v>금괴</v>
      </c>
      <c r="Z7" s="107">
        <f>ROUND(V7*'공중 유닛 설정'!$B$11,0)</f>
        <v>0</v>
      </c>
      <c r="AA7" s="107">
        <f t="shared" si="14"/>
        <v>8</v>
      </c>
      <c r="AB7" s="107">
        <f t="shared" si="15"/>
        <v>0</v>
      </c>
    </row>
    <row r="8" spans="1:28" x14ac:dyDescent="0.3">
      <c r="A8" s="110" t="s">
        <v>266</v>
      </c>
      <c r="B8" s="106" t="str">
        <f>'공중 유닛 배치'!C8</f>
        <v>1-4</v>
      </c>
      <c r="C8" s="106">
        <f>'공중 유닛 배치'!D8</f>
        <v>4</v>
      </c>
      <c r="D8" s="107">
        <f t="shared" si="0"/>
        <v>1</v>
      </c>
      <c r="E8" s="106">
        <f>'공중 유닛 배치'!L8</f>
        <v>23</v>
      </c>
      <c r="F8" s="106">
        <f>'공중 유닛 배치'!H8</f>
        <v>2</v>
      </c>
      <c r="G8" s="107">
        <f>ROUND('공중 유닛 설정'!$B$12*(1+'공중 유닛 설정'!$B$13)^(C8-1)*(1+'공중 유닛 설정'!$B$14)^(D8-1),0)</f>
        <v>8</v>
      </c>
      <c r="H8" s="108">
        <f t="shared" si="1"/>
        <v>2.875</v>
      </c>
      <c r="I8" s="107">
        <f>COUNTIF(설정!$C$34:$C$39,"&lt;="&amp;MAX(1,C8-'공중 유닛 설정'!$B$15))</f>
        <v>2</v>
      </c>
      <c r="J8" s="107">
        <f>MIN(I8,MAX(1,COUNTIF(설정!$B$15:$B$20,"&lt;="&amp;H8)))</f>
        <v>1</v>
      </c>
      <c r="K8" s="107">
        <f t="shared" si="2"/>
        <v>2</v>
      </c>
      <c r="L8" s="107">
        <f>INDEX(설정!$B$15:$B$20,J8)</f>
        <v>1</v>
      </c>
      <c r="M8" s="107">
        <f>INDEX(설정!$B$15:$B$20,K8)</f>
        <v>5</v>
      </c>
      <c r="N8" s="107">
        <f t="shared" si="3"/>
        <v>4</v>
      </c>
      <c r="O8" s="107">
        <f t="shared" si="4"/>
        <v>4</v>
      </c>
      <c r="P8" s="107">
        <f t="shared" si="5"/>
        <v>0</v>
      </c>
      <c r="Q8" s="107">
        <f t="shared" si="6"/>
        <v>0</v>
      </c>
      <c r="R8" s="107">
        <f t="shared" si="7"/>
        <v>0</v>
      </c>
      <c r="S8" s="107">
        <f t="shared" si="8"/>
        <v>0</v>
      </c>
      <c r="T8" s="107">
        <f t="shared" si="9"/>
        <v>4</v>
      </c>
      <c r="U8" s="107">
        <f t="shared" si="10"/>
        <v>4</v>
      </c>
      <c r="V8" s="110">
        <f t="shared" si="11"/>
        <v>8</v>
      </c>
      <c r="W8" s="107">
        <f t="shared" si="12"/>
        <v>24</v>
      </c>
      <c r="X8" s="121">
        <f t="shared" si="13"/>
        <v>4.3478260869565188E-2</v>
      </c>
      <c r="Y8" s="107" t="str">
        <f>INDEX(설정!$A$15:$A$20,IF(N8*M8&gt;=O8*L8,K8,J8))</f>
        <v>금괴</v>
      </c>
      <c r="Z8" s="107">
        <f>ROUND(V8*'공중 유닛 설정'!$B$11,0)</f>
        <v>0</v>
      </c>
      <c r="AA8" s="107">
        <f t="shared" si="14"/>
        <v>8</v>
      </c>
      <c r="AB8" s="107">
        <f t="shared" si="15"/>
        <v>0</v>
      </c>
    </row>
    <row r="9" spans="1:28" x14ac:dyDescent="0.3">
      <c r="A9" s="116" t="s">
        <v>266</v>
      </c>
      <c r="B9" s="112" t="str">
        <f>'공중 유닛 배치'!C9</f>
        <v>2-1</v>
      </c>
      <c r="C9" s="112">
        <f>'공중 유닛 배치'!D9</f>
        <v>5</v>
      </c>
      <c r="D9" s="113">
        <f t="shared" si="0"/>
        <v>2</v>
      </c>
      <c r="E9" s="112">
        <f>'공중 유닛 배치'!L9</f>
        <v>27</v>
      </c>
      <c r="F9" s="112">
        <f>'공중 유닛 배치'!H9</f>
        <v>3</v>
      </c>
      <c r="G9" s="113">
        <f>ROUND('공중 유닛 설정'!$B$12*(1+'공중 유닛 설정'!$B$13)^(C9-1)*(1+'공중 유닛 설정'!$B$14)^(D9-1),0)</f>
        <v>9</v>
      </c>
      <c r="H9" s="114">
        <f t="shared" si="1"/>
        <v>3</v>
      </c>
      <c r="I9" s="113">
        <f>COUNTIF(설정!$C$34:$C$39,"&lt;="&amp;MAX(1,C9-'공중 유닛 설정'!$B$15))</f>
        <v>3</v>
      </c>
      <c r="J9" s="113">
        <f>MIN(I9,MAX(1,COUNTIF(설정!$B$15:$B$20,"&lt;="&amp;H9)))</f>
        <v>1</v>
      </c>
      <c r="K9" s="113">
        <f t="shared" si="2"/>
        <v>2</v>
      </c>
      <c r="L9" s="113">
        <f>INDEX(설정!$B$15:$B$20,J9)</f>
        <v>1</v>
      </c>
      <c r="M9" s="113">
        <f>INDEX(설정!$B$15:$B$20,K9)</f>
        <v>5</v>
      </c>
      <c r="N9" s="113">
        <f t="shared" si="3"/>
        <v>5</v>
      </c>
      <c r="O9" s="113">
        <f t="shared" si="4"/>
        <v>4</v>
      </c>
      <c r="P9" s="113">
        <f t="shared" si="5"/>
        <v>0</v>
      </c>
      <c r="Q9" s="113">
        <f t="shared" si="6"/>
        <v>0</v>
      </c>
      <c r="R9" s="113">
        <f t="shared" si="7"/>
        <v>0</v>
      </c>
      <c r="S9" s="113">
        <f t="shared" si="8"/>
        <v>0</v>
      </c>
      <c r="T9" s="113">
        <f t="shared" si="9"/>
        <v>5</v>
      </c>
      <c r="U9" s="113">
        <f t="shared" si="10"/>
        <v>4</v>
      </c>
      <c r="V9" s="116">
        <f t="shared" si="11"/>
        <v>9</v>
      </c>
      <c r="W9" s="113">
        <f t="shared" si="12"/>
        <v>29</v>
      </c>
      <c r="X9" s="122">
        <f t="shared" si="13"/>
        <v>7.4074074074074181E-2</v>
      </c>
      <c r="Y9" s="113" t="str">
        <f>INDEX(설정!$A$15:$A$20,IF(N9*M9&gt;=O9*L9,K9,J9))</f>
        <v>금괴</v>
      </c>
      <c r="Z9" s="113">
        <f>ROUND(V9*'공중 유닛 설정'!$B$11,0)</f>
        <v>0</v>
      </c>
      <c r="AA9" s="113">
        <f t="shared" si="14"/>
        <v>9</v>
      </c>
      <c r="AB9" s="113">
        <f t="shared" si="15"/>
        <v>1</v>
      </c>
    </row>
    <row r="10" spans="1:28" x14ac:dyDescent="0.3">
      <c r="A10" s="116" t="s">
        <v>266</v>
      </c>
      <c r="B10" s="112" t="str">
        <f>'공중 유닛 배치'!C10</f>
        <v>2-2</v>
      </c>
      <c r="C10" s="112">
        <f>'공중 유닛 배치'!D10</f>
        <v>6</v>
      </c>
      <c r="D10" s="113">
        <f t="shared" si="0"/>
        <v>2</v>
      </c>
      <c r="E10" s="112">
        <f>'공중 유닛 배치'!L10</f>
        <v>35</v>
      </c>
      <c r="F10" s="112">
        <f>'공중 유닛 배치'!H10</f>
        <v>2</v>
      </c>
      <c r="G10" s="113">
        <f>ROUND('공중 유닛 설정'!$B$12*(1+'공중 유닛 설정'!$B$13)^(C10-1)*(1+'공중 유닛 설정'!$B$14)^(D10-1),0)</f>
        <v>9</v>
      </c>
      <c r="H10" s="114">
        <f t="shared" si="1"/>
        <v>3.8888888888888888</v>
      </c>
      <c r="I10" s="113">
        <f>COUNTIF(설정!$C$34:$C$39,"&lt;="&amp;MAX(1,C10-'공중 유닛 설정'!$B$15))</f>
        <v>3</v>
      </c>
      <c r="J10" s="113">
        <f>MIN(I10,MAX(1,COUNTIF(설정!$B$15:$B$20,"&lt;="&amp;H10)))</f>
        <v>1</v>
      </c>
      <c r="K10" s="113">
        <f t="shared" si="2"/>
        <v>2</v>
      </c>
      <c r="L10" s="113">
        <f>INDEX(설정!$B$15:$B$20,J10)</f>
        <v>1</v>
      </c>
      <c r="M10" s="113">
        <f>INDEX(설정!$B$15:$B$20,K10)</f>
        <v>5</v>
      </c>
      <c r="N10" s="113">
        <f t="shared" si="3"/>
        <v>7</v>
      </c>
      <c r="O10" s="113">
        <f t="shared" si="4"/>
        <v>2</v>
      </c>
      <c r="P10" s="113">
        <f t="shared" si="5"/>
        <v>0</v>
      </c>
      <c r="Q10" s="113">
        <f t="shared" si="6"/>
        <v>0</v>
      </c>
      <c r="R10" s="113">
        <f t="shared" si="7"/>
        <v>0</v>
      </c>
      <c r="S10" s="113">
        <f t="shared" si="8"/>
        <v>0</v>
      </c>
      <c r="T10" s="113">
        <f t="shared" si="9"/>
        <v>7</v>
      </c>
      <c r="U10" s="113">
        <f t="shared" si="10"/>
        <v>2</v>
      </c>
      <c r="V10" s="116">
        <f t="shared" si="11"/>
        <v>9</v>
      </c>
      <c r="W10" s="113">
        <f t="shared" si="12"/>
        <v>37</v>
      </c>
      <c r="X10" s="122">
        <f t="shared" si="13"/>
        <v>5.7142857142857162E-2</v>
      </c>
      <c r="Y10" s="113" t="str">
        <f>INDEX(설정!$A$15:$A$20,IF(N10*M10&gt;=O10*L10,K10,J10))</f>
        <v>금괴</v>
      </c>
      <c r="Z10" s="113">
        <f>ROUND(V10*'공중 유닛 설정'!$B$11,0)</f>
        <v>0</v>
      </c>
      <c r="AA10" s="113">
        <f t="shared" si="14"/>
        <v>9</v>
      </c>
      <c r="AB10" s="113">
        <f t="shared" si="15"/>
        <v>0</v>
      </c>
    </row>
    <row r="11" spans="1:28" x14ac:dyDescent="0.3">
      <c r="A11" s="116" t="s">
        <v>266</v>
      </c>
      <c r="B11" s="112" t="str">
        <f>'공중 유닛 배치'!C11</f>
        <v>2-3</v>
      </c>
      <c r="C11" s="112">
        <f>'공중 유닛 배치'!D11</f>
        <v>7</v>
      </c>
      <c r="D11" s="113">
        <f t="shared" si="0"/>
        <v>2</v>
      </c>
      <c r="E11" s="112">
        <f>'공중 유닛 배치'!L11</f>
        <v>42</v>
      </c>
      <c r="F11" s="112">
        <f>'공중 유닛 배치'!H11</f>
        <v>3</v>
      </c>
      <c r="G11" s="113">
        <f>ROUND('공중 유닛 설정'!$B$12*(1+'공중 유닛 설정'!$B$13)^(C11-1)*(1+'공중 유닛 설정'!$B$14)^(D11-1),0)</f>
        <v>10</v>
      </c>
      <c r="H11" s="114">
        <f t="shared" si="1"/>
        <v>4.2</v>
      </c>
      <c r="I11" s="113">
        <f>COUNTIF(설정!$C$34:$C$39,"&lt;="&amp;MAX(1,C11-'공중 유닛 설정'!$B$15))</f>
        <v>3</v>
      </c>
      <c r="J11" s="113">
        <f>MIN(I11,MAX(1,COUNTIF(설정!$B$15:$B$20,"&lt;="&amp;H11)))</f>
        <v>1</v>
      </c>
      <c r="K11" s="113">
        <f t="shared" si="2"/>
        <v>2</v>
      </c>
      <c r="L11" s="113">
        <f>INDEX(설정!$B$15:$B$20,J11)</f>
        <v>1</v>
      </c>
      <c r="M11" s="113">
        <f>INDEX(설정!$B$15:$B$20,K11)</f>
        <v>5</v>
      </c>
      <c r="N11" s="113">
        <f t="shared" si="3"/>
        <v>8</v>
      </c>
      <c r="O11" s="113">
        <f t="shared" si="4"/>
        <v>2</v>
      </c>
      <c r="P11" s="113">
        <f t="shared" si="5"/>
        <v>0</v>
      </c>
      <c r="Q11" s="113">
        <f t="shared" si="6"/>
        <v>0</v>
      </c>
      <c r="R11" s="113">
        <f t="shared" si="7"/>
        <v>0</v>
      </c>
      <c r="S11" s="113">
        <f t="shared" si="8"/>
        <v>0</v>
      </c>
      <c r="T11" s="113">
        <f t="shared" si="9"/>
        <v>8</v>
      </c>
      <c r="U11" s="113">
        <f t="shared" si="10"/>
        <v>2</v>
      </c>
      <c r="V11" s="116">
        <f t="shared" si="11"/>
        <v>10</v>
      </c>
      <c r="W11" s="113">
        <f t="shared" si="12"/>
        <v>42</v>
      </c>
      <c r="X11" s="122">
        <f t="shared" si="13"/>
        <v>0</v>
      </c>
      <c r="Y11" s="113" t="str">
        <f>INDEX(설정!$A$15:$A$20,IF(N11*M11&gt;=O11*L11,K11,J11))</f>
        <v>금괴</v>
      </c>
      <c r="Z11" s="113">
        <f>ROUND(V11*'공중 유닛 설정'!$B$11,0)</f>
        <v>0</v>
      </c>
      <c r="AA11" s="113">
        <f t="shared" si="14"/>
        <v>10</v>
      </c>
      <c r="AB11" s="113">
        <f t="shared" si="15"/>
        <v>1</v>
      </c>
    </row>
    <row r="12" spans="1:28" x14ac:dyDescent="0.3">
      <c r="A12" s="116" t="s">
        <v>266</v>
      </c>
      <c r="B12" s="112" t="str">
        <f>'공중 유닛 배치'!C12</f>
        <v>2-4</v>
      </c>
      <c r="C12" s="112">
        <f>'공중 유닛 배치'!D12</f>
        <v>8</v>
      </c>
      <c r="D12" s="113">
        <f t="shared" si="0"/>
        <v>2</v>
      </c>
      <c r="E12" s="112">
        <f>'공중 유닛 배치'!L12</f>
        <v>52</v>
      </c>
      <c r="F12" s="112">
        <f>'공중 유닛 배치'!H12</f>
        <v>2</v>
      </c>
      <c r="G12" s="113">
        <f>ROUND('공중 유닛 설정'!$B$12*(1+'공중 유닛 설정'!$B$13)^(C12-1)*(1+'공중 유닛 설정'!$B$14)^(D12-1),0)</f>
        <v>10</v>
      </c>
      <c r="H12" s="114">
        <f t="shared" si="1"/>
        <v>5.2</v>
      </c>
      <c r="I12" s="113">
        <f>COUNTIF(설정!$C$34:$C$39,"&lt;="&amp;MAX(1,C12-'공중 유닛 설정'!$B$15))</f>
        <v>3</v>
      </c>
      <c r="J12" s="113">
        <f>MIN(I12,MAX(1,COUNTIF(설정!$B$15:$B$20,"&lt;="&amp;H12)))</f>
        <v>2</v>
      </c>
      <c r="K12" s="113">
        <f t="shared" si="2"/>
        <v>3</v>
      </c>
      <c r="L12" s="113">
        <f>INDEX(설정!$B$15:$B$20,J12)</f>
        <v>5</v>
      </c>
      <c r="M12" s="113">
        <f>INDEX(설정!$B$15:$B$20,K12)</f>
        <v>25</v>
      </c>
      <c r="N12" s="113">
        <f t="shared" si="3"/>
        <v>0</v>
      </c>
      <c r="O12" s="113">
        <f t="shared" si="4"/>
        <v>10</v>
      </c>
      <c r="P12" s="113">
        <f t="shared" si="5"/>
        <v>0</v>
      </c>
      <c r="Q12" s="113">
        <f t="shared" si="6"/>
        <v>0</v>
      </c>
      <c r="R12" s="113">
        <f t="shared" si="7"/>
        <v>0</v>
      </c>
      <c r="S12" s="113">
        <f t="shared" si="8"/>
        <v>0</v>
      </c>
      <c r="T12" s="113">
        <f t="shared" si="9"/>
        <v>10</v>
      </c>
      <c r="U12" s="113">
        <f t="shared" si="10"/>
        <v>0</v>
      </c>
      <c r="V12" s="116">
        <f t="shared" si="11"/>
        <v>10</v>
      </c>
      <c r="W12" s="113">
        <f t="shared" si="12"/>
        <v>50</v>
      </c>
      <c r="X12" s="122">
        <f t="shared" si="13"/>
        <v>-3.8461538461538436E-2</v>
      </c>
      <c r="Y12" s="113" t="str">
        <f>INDEX(설정!$A$15:$A$20,IF(N12*M12&gt;=O12*L12,K12,J12))</f>
        <v>금괴</v>
      </c>
      <c r="Z12" s="113">
        <f>ROUND(V12*'공중 유닛 설정'!$B$11,0)</f>
        <v>0</v>
      </c>
      <c r="AA12" s="113">
        <f t="shared" si="14"/>
        <v>10</v>
      </c>
      <c r="AB12" s="113">
        <f t="shared" si="15"/>
        <v>0</v>
      </c>
    </row>
    <row r="13" spans="1:28" x14ac:dyDescent="0.3">
      <c r="A13" s="110" t="s">
        <v>266</v>
      </c>
      <c r="B13" s="106" t="str">
        <f>'공중 유닛 배치'!C13</f>
        <v>3-1</v>
      </c>
      <c r="C13" s="106">
        <f>'공중 유닛 배치'!D13</f>
        <v>9</v>
      </c>
      <c r="D13" s="107">
        <f t="shared" si="0"/>
        <v>3</v>
      </c>
      <c r="E13" s="106">
        <f>'공중 유닛 배치'!L13</f>
        <v>63</v>
      </c>
      <c r="F13" s="106">
        <f>'공중 유닛 배치'!H13</f>
        <v>3</v>
      </c>
      <c r="G13" s="107">
        <f>ROUND('공중 유닛 설정'!$B$12*(1+'공중 유닛 설정'!$B$13)^(C13-1)*(1+'공중 유닛 설정'!$B$14)^(D13-1),0)</f>
        <v>11</v>
      </c>
      <c r="H13" s="108">
        <f t="shared" si="1"/>
        <v>5.7272727272727275</v>
      </c>
      <c r="I13" s="107">
        <f>COUNTIF(설정!$C$34:$C$39,"&lt;="&amp;MAX(1,C13-'공중 유닛 설정'!$B$15))</f>
        <v>3</v>
      </c>
      <c r="J13" s="107">
        <f>MIN(I13,MAX(1,COUNTIF(설정!$B$15:$B$20,"&lt;="&amp;H13)))</f>
        <v>2</v>
      </c>
      <c r="K13" s="107">
        <f t="shared" si="2"/>
        <v>3</v>
      </c>
      <c r="L13" s="107">
        <f>INDEX(설정!$B$15:$B$20,J13)</f>
        <v>5</v>
      </c>
      <c r="M13" s="107">
        <f>INDEX(설정!$B$15:$B$20,K13)</f>
        <v>25</v>
      </c>
      <c r="N13" s="107">
        <f t="shared" si="3"/>
        <v>0</v>
      </c>
      <c r="O13" s="107">
        <f t="shared" si="4"/>
        <v>11</v>
      </c>
      <c r="P13" s="107">
        <f t="shared" si="5"/>
        <v>0</v>
      </c>
      <c r="Q13" s="107">
        <f t="shared" si="6"/>
        <v>0</v>
      </c>
      <c r="R13" s="107">
        <f t="shared" si="7"/>
        <v>0</v>
      </c>
      <c r="S13" s="107">
        <f t="shared" si="8"/>
        <v>0</v>
      </c>
      <c r="T13" s="107">
        <f t="shared" si="9"/>
        <v>11</v>
      </c>
      <c r="U13" s="107">
        <f t="shared" si="10"/>
        <v>0</v>
      </c>
      <c r="V13" s="110">
        <f t="shared" si="11"/>
        <v>11</v>
      </c>
      <c r="W13" s="107">
        <f t="shared" si="12"/>
        <v>55</v>
      </c>
      <c r="X13" s="121">
        <f t="shared" si="13"/>
        <v>-0.12698412698412698</v>
      </c>
      <c r="Y13" s="107" t="str">
        <f>INDEX(설정!$A$15:$A$20,IF(N13*M13&gt;=O13*L13,K13,J13))</f>
        <v>금괴</v>
      </c>
      <c r="Z13" s="107">
        <f>ROUND(V13*'공중 유닛 설정'!$B$11,0)</f>
        <v>0</v>
      </c>
      <c r="AA13" s="107">
        <f t="shared" si="14"/>
        <v>11</v>
      </c>
      <c r="AB13" s="107">
        <f t="shared" si="15"/>
        <v>1</v>
      </c>
    </row>
    <row r="14" spans="1:28" x14ac:dyDescent="0.3">
      <c r="A14" s="110" t="s">
        <v>266</v>
      </c>
      <c r="B14" s="106" t="str">
        <f>'공중 유닛 배치'!C14</f>
        <v>3-2</v>
      </c>
      <c r="C14" s="106">
        <f>'공중 유닛 배치'!D14</f>
        <v>10</v>
      </c>
      <c r="D14" s="107">
        <f t="shared" si="0"/>
        <v>3</v>
      </c>
      <c r="E14" s="106">
        <f>'공중 유닛 배치'!L14</f>
        <v>78</v>
      </c>
      <c r="F14" s="106">
        <f>'공중 유닛 배치'!H14</f>
        <v>2</v>
      </c>
      <c r="G14" s="107">
        <f>ROUND('공중 유닛 설정'!$B$12*(1+'공중 유닛 설정'!$B$13)^(C14-1)*(1+'공중 유닛 설정'!$B$14)^(D14-1),0)</f>
        <v>11</v>
      </c>
      <c r="H14" s="108">
        <f t="shared" si="1"/>
        <v>7.0909090909090908</v>
      </c>
      <c r="I14" s="107">
        <f>COUNTIF(설정!$C$34:$C$39,"&lt;="&amp;MAX(1,C14-'공중 유닛 설정'!$B$15))</f>
        <v>3</v>
      </c>
      <c r="J14" s="107">
        <f>MIN(I14,MAX(1,COUNTIF(설정!$B$15:$B$20,"&lt;="&amp;H14)))</f>
        <v>2</v>
      </c>
      <c r="K14" s="107">
        <f t="shared" si="2"/>
        <v>3</v>
      </c>
      <c r="L14" s="107">
        <f>INDEX(설정!$B$15:$B$20,J14)</f>
        <v>5</v>
      </c>
      <c r="M14" s="107">
        <f>INDEX(설정!$B$15:$B$20,K14)</f>
        <v>25</v>
      </c>
      <c r="N14" s="107">
        <f t="shared" si="3"/>
        <v>1</v>
      </c>
      <c r="O14" s="107">
        <f t="shared" si="4"/>
        <v>10</v>
      </c>
      <c r="P14" s="107">
        <f t="shared" si="5"/>
        <v>0</v>
      </c>
      <c r="Q14" s="107">
        <f t="shared" si="6"/>
        <v>0</v>
      </c>
      <c r="R14" s="107">
        <f t="shared" si="7"/>
        <v>0</v>
      </c>
      <c r="S14" s="107">
        <f t="shared" si="8"/>
        <v>1</v>
      </c>
      <c r="T14" s="107">
        <f t="shared" si="9"/>
        <v>10</v>
      </c>
      <c r="U14" s="107">
        <f t="shared" si="10"/>
        <v>0</v>
      </c>
      <c r="V14" s="110">
        <f t="shared" si="11"/>
        <v>11</v>
      </c>
      <c r="W14" s="107">
        <f t="shared" si="12"/>
        <v>75</v>
      </c>
      <c r="X14" s="121">
        <f t="shared" si="13"/>
        <v>-3.8461538461538436E-2</v>
      </c>
      <c r="Y14" s="107" t="str">
        <f>INDEX(설정!$A$15:$A$20,IF(N14*M14&gt;=O14*L14,K14,J14))</f>
        <v>금괴</v>
      </c>
      <c r="Z14" s="107">
        <f>ROUND(V14*'공중 유닛 설정'!$B$11,0)</f>
        <v>0</v>
      </c>
      <c r="AA14" s="107">
        <f t="shared" si="14"/>
        <v>11</v>
      </c>
      <c r="AB14" s="107">
        <f t="shared" si="15"/>
        <v>0</v>
      </c>
    </row>
    <row r="15" spans="1:28" x14ac:dyDescent="0.3">
      <c r="A15" s="110" t="s">
        <v>266</v>
      </c>
      <c r="B15" s="106" t="str">
        <f>'공중 유닛 배치'!C15</f>
        <v>3-3</v>
      </c>
      <c r="C15" s="106">
        <f>'공중 유닛 배치'!D15</f>
        <v>11</v>
      </c>
      <c r="D15" s="107">
        <f t="shared" si="0"/>
        <v>3</v>
      </c>
      <c r="E15" s="106">
        <f>'공중 유닛 배치'!L15</f>
        <v>95</v>
      </c>
      <c r="F15" s="106">
        <f>'공중 유닛 배치'!H15</f>
        <v>3</v>
      </c>
      <c r="G15" s="107">
        <f>ROUND('공중 유닛 설정'!$B$12*(1+'공중 유닛 설정'!$B$13)^(C15-1)*(1+'공중 유닛 설정'!$B$14)^(D15-1),0)</f>
        <v>11</v>
      </c>
      <c r="H15" s="108">
        <f t="shared" si="1"/>
        <v>8.6363636363636367</v>
      </c>
      <c r="I15" s="107">
        <f>COUNTIF(설정!$C$34:$C$39,"&lt;="&amp;MAX(1,C15-'공중 유닛 설정'!$B$15))</f>
        <v>3</v>
      </c>
      <c r="J15" s="107">
        <f>MIN(I15,MAX(1,COUNTIF(설정!$B$15:$B$20,"&lt;="&amp;H15)))</f>
        <v>2</v>
      </c>
      <c r="K15" s="107">
        <f t="shared" si="2"/>
        <v>3</v>
      </c>
      <c r="L15" s="107">
        <f>INDEX(설정!$B$15:$B$20,J15)</f>
        <v>5</v>
      </c>
      <c r="M15" s="107">
        <f>INDEX(설정!$B$15:$B$20,K15)</f>
        <v>25</v>
      </c>
      <c r="N15" s="107">
        <f t="shared" si="3"/>
        <v>2</v>
      </c>
      <c r="O15" s="107">
        <f t="shared" si="4"/>
        <v>9</v>
      </c>
      <c r="P15" s="107">
        <f t="shared" si="5"/>
        <v>0</v>
      </c>
      <c r="Q15" s="107">
        <f t="shared" si="6"/>
        <v>0</v>
      </c>
      <c r="R15" s="107">
        <f t="shared" si="7"/>
        <v>0</v>
      </c>
      <c r="S15" s="107">
        <f t="shared" si="8"/>
        <v>2</v>
      </c>
      <c r="T15" s="107">
        <f t="shared" si="9"/>
        <v>9</v>
      </c>
      <c r="U15" s="107">
        <f t="shared" si="10"/>
        <v>0</v>
      </c>
      <c r="V15" s="110">
        <f t="shared" si="11"/>
        <v>11</v>
      </c>
      <c r="W15" s="107">
        <f t="shared" si="12"/>
        <v>95</v>
      </c>
      <c r="X15" s="121">
        <f t="shared" si="13"/>
        <v>0</v>
      </c>
      <c r="Y15" s="107" t="str">
        <f>INDEX(설정!$A$15:$A$20,IF(N15*M15&gt;=O15*L15,K15,J15))</f>
        <v>사파이어</v>
      </c>
      <c r="Z15" s="107">
        <f>ROUND(V15*'공중 유닛 설정'!$B$11,0)</f>
        <v>0</v>
      </c>
      <c r="AA15" s="107">
        <f t="shared" si="14"/>
        <v>11</v>
      </c>
      <c r="AB15" s="107">
        <f t="shared" si="15"/>
        <v>0</v>
      </c>
    </row>
    <row r="16" spans="1:28" x14ac:dyDescent="0.3">
      <c r="A16" s="110" t="s">
        <v>266</v>
      </c>
      <c r="B16" s="106" t="str">
        <f>'공중 유닛 배치'!C16</f>
        <v>3-4</v>
      </c>
      <c r="C16" s="106">
        <f>'공중 유닛 배치'!D16</f>
        <v>12</v>
      </c>
      <c r="D16" s="107">
        <f t="shared" si="0"/>
        <v>3</v>
      </c>
      <c r="E16" s="106">
        <f>'공중 유닛 배치'!L16</f>
        <v>118</v>
      </c>
      <c r="F16" s="106">
        <f>'공중 유닛 배치'!H16</f>
        <v>2</v>
      </c>
      <c r="G16" s="107">
        <f>ROUND('공중 유닛 설정'!$B$12*(1+'공중 유닛 설정'!$B$13)^(C16-1)*(1+'공중 유닛 설정'!$B$14)^(D16-1),0)</f>
        <v>11</v>
      </c>
      <c r="H16" s="108">
        <f t="shared" si="1"/>
        <v>10.727272727272727</v>
      </c>
      <c r="I16" s="107">
        <f>COUNTIF(설정!$C$34:$C$39,"&lt;="&amp;MAX(1,C16-'공중 유닛 설정'!$B$15))</f>
        <v>3</v>
      </c>
      <c r="J16" s="107">
        <f>MIN(I16,MAX(1,COUNTIF(설정!$B$15:$B$20,"&lt;="&amp;H16)))</f>
        <v>2</v>
      </c>
      <c r="K16" s="107">
        <f t="shared" si="2"/>
        <v>3</v>
      </c>
      <c r="L16" s="107">
        <f>INDEX(설정!$B$15:$B$20,J16)</f>
        <v>5</v>
      </c>
      <c r="M16" s="107">
        <f>INDEX(설정!$B$15:$B$20,K16)</f>
        <v>25</v>
      </c>
      <c r="N16" s="107">
        <f t="shared" si="3"/>
        <v>3</v>
      </c>
      <c r="O16" s="107">
        <f t="shared" si="4"/>
        <v>8</v>
      </c>
      <c r="P16" s="107">
        <f t="shared" si="5"/>
        <v>0</v>
      </c>
      <c r="Q16" s="107">
        <f t="shared" si="6"/>
        <v>0</v>
      </c>
      <c r="R16" s="107">
        <f t="shared" si="7"/>
        <v>0</v>
      </c>
      <c r="S16" s="107">
        <f t="shared" si="8"/>
        <v>3</v>
      </c>
      <c r="T16" s="107">
        <f t="shared" si="9"/>
        <v>8</v>
      </c>
      <c r="U16" s="107">
        <f t="shared" si="10"/>
        <v>0</v>
      </c>
      <c r="V16" s="110">
        <f t="shared" si="11"/>
        <v>11</v>
      </c>
      <c r="W16" s="107">
        <f t="shared" si="12"/>
        <v>115</v>
      </c>
      <c r="X16" s="121">
        <f t="shared" si="13"/>
        <v>-2.5423728813559365E-2</v>
      </c>
      <c r="Y16" s="107" t="str">
        <f>INDEX(설정!$A$15:$A$20,IF(N16*M16&gt;=O16*L16,K16,J16))</f>
        <v>사파이어</v>
      </c>
      <c r="Z16" s="107">
        <f>ROUND(V16*'공중 유닛 설정'!$B$11,0)</f>
        <v>0</v>
      </c>
      <c r="AA16" s="107">
        <f t="shared" si="14"/>
        <v>11</v>
      </c>
      <c r="AB16" s="107">
        <f t="shared" si="15"/>
        <v>0</v>
      </c>
    </row>
    <row r="17" spans="1:28" x14ac:dyDescent="0.3">
      <c r="A17" s="116" t="s">
        <v>266</v>
      </c>
      <c r="B17" s="112" t="str">
        <f>'공중 유닛 배치'!C17</f>
        <v>4-1</v>
      </c>
      <c r="C17" s="112">
        <f>'공중 유닛 배치'!D17</f>
        <v>13</v>
      </c>
      <c r="D17" s="113">
        <f t="shared" si="0"/>
        <v>4</v>
      </c>
      <c r="E17" s="112">
        <f>'공중 유닛 배치'!L17</f>
        <v>142</v>
      </c>
      <c r="F17" s="112">
        <f>'공중 유닛 배치'!H17</f>
        <v>3</v>
      </c>
      <c r="G17" s="113">
        <f>ROUND('공중 유닛 설정'!$B$12*(1+'공중 유닛 설정'!$B$13)^(C17-1)*(1+'공중 유닛 설정'!$B$14)^(D17-1),0)</f>
        <v>12</v>
      </c>
      <c r="H17" s="114">
        <f t="shared" si="1"/>
        <v>11.833333333333334</v>
      </c>
      <c r="I17" s="113">
        <f>COUNTIF(설정!$C$34:$C$39,"&lt;="&amp;MAX(1,C17-'공중 유닛 설정'!$B$15))</f>
        <v>4</v>
      </c>
      <c r="J17" s="113">
        <f>MIN(I17,MAX(1,COUNTIF(설정!$B$15:$B$20,"&lt;="&amp;H17)))</f>
        <v>2</v>
      </c>
      <c r="K17" s="113">
        <f t="shared" si="2"/>
        <v>3</v>
      </c>
      <c r="L17" s="113">
        <f>INDEX(설정!$B$15:$B$20,J17)</f>
        <v>5</v>
      </c>
      <c r="M17" s="113">
        <f>INDEX(설정!$B$15:$B$20,K17)</f>
        <v>25</v>
      </c>
      <c r="N17" s="113">
        <f t="shared" si="3"/>
        <v>4</v>
      </c>
      <c r="O17" s="113">
        <f t="shared" si="4"/>
        <v>8</v>
      </c>
      <c r="P17" s="113">
        <f t="shared" si="5"/>
        <v>0</v>
      </c>
      <c r="Q17" s="113">
        <f t="shared" si="6"/>
        <v>0</v>
      </c>
      <c r="R17" s="113">
        <f t="shared" si="7"/>
        <v>0</v>
      </c>
      <c r="S17" s="113">
        <f t="shared" si="8"/>
        <v>4</v>
      </c>
      <c r="T17" s="113">
        <f t="shared" si="9"/>
        <v>8</v>
      </c>
      <c r="U17" s="113">
        <f t="shared" si="10"/>
        <v>0</v>
      </c>
      <c r="V17" s="116">
        <f t="shared" si="11"/>
        <v>12</v>
      </c>
      <c r="W17" s="113">
        <f t="shared" si="12"/>
        <v>140</v>
      </c>
      <c r="X17" s="122">
        <f t="shared" si="13"/>
        <v>-1.4084507042253502E-2</v>
      </c>
      <c r="Y17" s="113" t="str">
        <f>INDEX(설정!$A$15:$A$20,IF(N17*M17&gt;=O17*L17,K17,J17))</f>
        <v>사파이어</v>
      </c>
      <c r="Z17" s="113">
        <f>ROUND(V17*'공중 유닛 설정'!$B$11,0)</f>
        <v>0</v>
      </c>
      <c r="AA17" s="113">
        <f t="shared" si="14"/>
        <v>12</v>
      </c>
      <c r="AB17" s="113">
        <f t="shared" si="15"/>
        <v>1</v>
      </c>
    </row>
    <row r="18" spans="1:28" x14ac:dyDescent="0.3">
      <c r="A18" s="116" t="s">
        <v>266</v>
      </c>
      <c r="B18" s="112" t="str">
        <f>'공중 유닛 배치'!C18</f>
        <v>4-2</v>
      </c>
      <c r="C18" s="112">
        <f>'공중 유닛 배치'!D18</f>
        <v>14</v>
      </c>
      <c r="D18" s="113">
        <f t="shared" si="0"/>
        <v>4</v>
      </c>
      <c r="E18" s="112">
        <f>'공중 유닛 배치'!L18</f>
        <v>178</v>
      </c>
      <c r="F18" s="112">
        <f>'공중 유닛 배치'!H18</f>
        <v>2</v>
      </c>
      <c r="G18" s="113">
        <f>ROUND('공중 유닛 설정'!$B$12*(1+'공중 유닛 설정'!$B$13)^(C18-1)*(1+'공중 유닛 설정'!$B$14)^(D18-1),0)</f>
        <v>13</v>
      </c>
      <c r="H18" s="114">
        <f t="shared" si="1"/>
        <v>13.692307692307692</v>
      </c>
      <c r="I18" s="113">
        <f>COUNTIF(설정!$C$34:$C$39,"&lt;="&amp;MAX(1,C18-'공중 유닛 설정'!$B$15))</f>
        <v>4</v>
      </c>
      <c r="J18" s="113">
        <f>MIN(I18,MAX(1,COUNTIF(설정!$B$15:$B$20,"&lt;="&amp;H18)))</f>
        <v>2</v>
      </c>
      <c r="K18" s="113">
        <f t="shared" si="2"/>
        <v>3</v>
      </c>
      <c r="L18" s="113">
        <f>INDEX(설정!$B$15:$B$20,J18)</f>
        <v>5</v>
      </c>
      <c r="M18" s="113">
        <f>INDEX(설정!$B$15:$B$20,K18)</f>
        <v>25</v>
      </c>
      <c r="N18" s="113">
        <f t="shared" si="3"/>
        <v>6</v>
      </c>
      <c r="O18" s="113">
        <f t="shared" si="4"/>
        <v>7</v>
      </c>
      <c r="P18" s="113">
        <f t="shared" si="5"/>
        <v>0</v>
      </c>
      <c r="Q18" s="113">
        <f t="shared" si="6"/>
        <v>0</v>
      </c>
      <c r="R18" s="113">
        <f t="shared" si="7"/>
        <v>0</v>
      </c>
      <c r="S18" s="113">
        <f t="shared" si="8"/>
        <v>6</v>
      </c>
      <c r="T18" s="113">
        <f t="shared" si="9"/>
        <v>7</v>
      </c>
      <c r="U18" s="113">
        <f t="shared" si="10"/>
        <v>0</v>
      </c>
      <c r="V18" s="116">
        <f t="shared" si="11"/>
        <v>13</v>
      </c>
      <c r="W18" s="113">
        <f t="shared" si="12"/>
        <v>185</v>
      </c>
      <c r="X18" s="122">
        <f t="shared" si="13"/>
        <v>3.9325842696629199E-2</v>
      </c>
      <c r="Y18" s="113" t="str">
        <f>INDEX(설정!$A$15:$A$20,IF(N18*M18&gt;=O18*L18,K18,J18))</f>
        <v>사파이어</v>
      </c>
      <c r="Z18" s="113">
        <f>ROUND(V18*'공중 유닛 설정'!$B$11,0)</f>
        <v>0</v>
      </c>
      <c r="AA18" s="113">
        <f t="shared" si="14"/>
        <v>13</v>
      </c>
      <c r="AB18" s="113">
        <f t="shared" si="15"/>
        <v>1</v>
      </c>
    </row>
    <row r="19" spans="1:28" x14ac:dyDescent="0.3">
      <c r="A19" s="116" t="s">
        <v>266</v>
      </c>
      <c r="B19" s="112" t="str">
        <f>'공중 유닛 배치'!C19</f>
        <v>4-3</v>
      </c>
      <c r="C19" s="112">
        <f>'공중 유닛 배치'!D19</f>
        <v>15</v>
      </c>
      <c r="D19" s="113">
        <f t="shared" si="0"/>
        <v>4</v>
      </c>
      <c r="E19" s="112">
        <f>'공중 유닛 배치'!L19</f>
        <v>213</v>
      </c>
      <c r="F19" s="112">
        <f>'공중 유닛 배치'!H19</f>
        <v>3</v>
      </c>
      <c r="G19" s="113">
        <f>ROUND('공중 유닛 설정'!$B$12*(1+'공중 유닛 설정'!$B$13)^(C19-1)*(1+'공중 유닛 설정'!$B$14)^(D19-1),0)</f>
        <v>13</v>
      </c>
      <c r="H19" s="114">
        <f t="shared" si="1"/>
        <v>16.384615384615383</v>
      </c>
      <c r="I19" s="113">
        <f>COUNTIF(설정!$C$34:$C$39,"&lt;="&amp;MAX(1,C19-'공중 유닛 설정'!$B$15))</f>
        <v>4</v>
      </c>
      <c r="J19" s="113">
        <f>MIN(I19,MAX(1,COUNTIF(설정!$B$15:$B$20,"&lt;="&amp;H19)))</f>
        <v>2</v>
      </c>
      <c r="K19" s="113">
        <f t="shared" si="2"/>
        <v>3</v>
      </c>
      <c r="L19" s="113">
        <f>INDEX(설정!$B$15:$B$20,J19)</f>
        <v>5</v>
      </c>
      <c r="M19" s="113">
        <f>INDEX(설정!$B$15:$B$20,K19)</f>
        <v>25</v>
      </c>
      <c r="N19" s="113">
        <f t="shared" si="3"/>
        <v>7</v>
      </c>
      <c r="O19" s="113">
        <f t="shared" si="4"/>
        <v>6</v>
      </c>
      <c r="P19" s="113">
        <f t="shared" si="5"/>
        <v>0</v>
      </c>
      <c r="Q19" s="113">
        <f t="shared" si="6"/>
        <v>0</v>
      </c>
      <c r="R19" s="113">
        <f t="shared" si="7"/>
        <v>0</v>
      </c>
      <c r="S19" s="113">
        <f t="shared" si="8"/>
        <v>7</v>
      </c>
      <c r="T19" s="113">
        <f t="shared" si="9"/>
        <v>6</v>
      </c>
      <c r="U19" s="113">
        <f t="shared" si="10"/>
        <v>0</v>
      </c>
      <c r="V19" s="116">
        <f t="shared" si="11"/>
        <v>13</v>
      </c>
      <c r="W19" s="113">
        <f t="shared" si="12"/>
        <v>205</v>
      </c>
      <c r="X19" s="122">
        <f t="shared" si="13"/>
        <v>-3.7558685446009377E-2</v>
      </c>
      <c r="Y19" s="113" t="str">
        <f>INDEX(설정!$A$15:$A$20,IF(N19*M19&gt;=O19*L19,K19,J19))</f>
        <v>사파이어</v>
      </c>
      <c r="Z19" s="113">
        <f>ROUND(V19*'공중 유닛 설정'!$B$11,0)</f>
        <v>0</v>
      </c>
      <c r="AA19" s="113">
        <f t="shared" si="14"/>
        <v>13</v>
      </c>
      <c r="AB19" s="113">
        <f t="shared" si="15"/>
        <v>0</v>
      </c>
    </row>
    <row r="20" spans="1:28" x14ac:dyDescent="0.3">
      <c r="A20" s="116" t="s">
        <v>266</v>
      </c>
      <c r="B20" s="112" t="str">
        <f>'공중 유닛 배치'!C20</f>
        <v>4-4</v>
      </c>
      <c r="C20" s="112">
        <f>'공중 유닛 배치'!D20</f>
        <v>16</v>
      </c>
      <c r="D20" s="113">
        <f t="shared" si="0"/>
        <v>4</v>
      </c>
      <c r="E20" s="112">
        <f>'공중 유닛 배치'!L20</f>
        <v>267</v>
      </c>
      <c r="F20" s="112">
        <f>'공중 유닛 배치'!H20</f>
        <v>2</v>
      </c>
      <c r="G20" s="113">
        <f>ROUND('공중 유닛 설정'!$B$12*(1+'공중 유닛 설정'!$B$13)^(C20-1)*(1+'공중 유닛 설정'!$B$14)^(D20-1),0)</f>
        <v>13</v>
      </c>
      <c r="H20" s="114">
        <f t="shared" si="1"/>
        <v>20.53846153846154</v>
      </c>
      <c r="I20" s="113">
        <f>COUNTIF(설정!$C$34:$C$39,"&lt;="&amp;MAX(1,C20-'공중 유닛 설정'!$B$15))</f>
        <v>4</v>
      </c>
      <c r="J20" s="113">
        <f>MIN(I20,MAX(1,COUNTIF(설정!$B$15:$B$20,"&lt;="&amp;H20)))</f>
        <v>2</v>
      </c>
      <c r="K20" s="113">
        <f t="shared" si="2"/>
        <v>3</v>
      </c>
      <c r="L20" s="113">
        <f>INDEX(설정!$B$15:$B$20,J20)</f>
        <v>5</v>
      </c>
      <c r="M20" s="113">
        <f>INDEX(설정!$B$15:$B$20,K20)</f>
        <v>25</v>
      </c>
      <c r="N20" s="113">
        <f t="shared" si="3"/>
        <v>10</v>
      </c>
      <c r="O20" s="113">
        <f t="shared" si="4"/>
        <v>3</v>
      </c>
      <c r="P20" s="113">
        <f t="shared" si="5"/>
        <v>0</v>
      </c>
      <c r="Q20" s="113">
        <f t="shared" si="6"/>
        <v>0</v>
      </c>
      <c r="R20" s="113">
        <f t="shared" si="7"/>
        <v>0</v>
      </c>
      <c r="S20" s="113">
        <f t="shared" si="8"/>
        <v>10</v>
      </c>
      <c r="T20" s="113">
        <f t="shared" si="9"/>
        <v>3</v>
      </c>
      <c r="U20" s="113">
        <f t="shared" si="10"/>
        <v>0</v>
      </c>
      <c r="V20" s="116">
        <f t="shared" si="11"/>
        <v>13</v>
      </c>
      <c r="W20" s="113">
        <f t="shared" si="12"/>
        <v>265</v>
      </c>
      <c r="X20" s="122">
        <f t="shared" si="13"/>
        <v>-7.4906367041198685E-3</v>
      </c>
      <c r="Y20" s="113" t="str">
        <f>INDEX(설정!$A$15:$A$20,IF(N20*M20&gt;=O20*L20,K20,J20))</f>
        <v>사파이어</v>
      </c>
      <c r="Z20" s="113">
        <f>ROUND(V20*'공중 유닛 설정'!$B$11,0)</f>
        <v>0</v>
      </c>
      <c r="AA20" s="113">
        <f t="shared" si="14"/>
        <v>13</v>
      </c>
      <c r="AB20" s="113">
        <f t="shared" si="15"/>
        <v>0</v>
      </c>
    </row>
    <row r="21" spans="1:28" x14ac:dyDescent="0.3">
      <c r="A21" s="110" t="s">
        <v>266</v>
      </c>
      <c r="B21" s="106" t="str">
        <f>'공중 유닛 배치'!C21</f>
        <v>5-1</v>
      </c>
      <c r="C21" s="106">
        <f>'공중 유닛 배치'!D21</f>
        <v>17</v>
      </c>
      <c r="D21" s="107">
        <f t="shared" si="0"/>
        <v>5</v>
      </c>
      <c r="E21" s="106">
        <f>'공중 유닛 배치'!L21</f>
        <v>320</v>
      </c>
      <c r="F21" s="106">
        <f>'공중 유닛 배치'!H21</f>
        <v>3</v>
      </c>
      <c r="G21" s="107">
        <f>ROUND('공중 유닛 설정'!$B$12*(1+'공중 유닛 설정'!$B$13)^(C21-1)*(1+'공중 유닛 설정'!$B$14)^(D21-1),0)</f>
        <v>14</v>
      </c>
      <c r="H21" s="108">
        <f t="shared" si="1"/>
        <v>22.857142857142858</v>
      </c>
      <c r="I21" s="107">
        <f>COUNTIF(설정!$C$34:$C$39,"&lt;="&amp;MAX(1,C21-'공중 유닛 설정'!$B$15))</f>
        <v>4</v>
      </c>
      <c r="J21" s="107">
        <f>MIN(I21,MAX(1,COUNTIF(설정!$B$15:$B$20,"&lt;="&amp;H21)))</f>
        <v>2</v>
      </c>
      <c r="K21" s="107">
        <f t="shared" si="2"/>
        <v>3</v>
      </c>
      <c r="L21" s="107">
        <f>INDEX(설정!$B$15:$B$20,J21)</f>
        <v>5</v>
      </c>
      <c r="M21" s="107">
        <f>INDEX(설정!$B$15:$B$20,K21)</f>
        <v>25</v>
      </c>
      <c r="N21" s="107">
        <f t="shared" si="3"/>
        <v>13</v>
      </c>
      <c r="O21" s="107">
        <f t="shared" si="4"/>
        <v>1</v>
      </c>
      <c r="P21" s="107">
        <f t="shared" si="5"/>
        <v>0</v>
      </c>
      <c r="Q21" s="107">
        <f t="shared" si="6"/>
        <v>0</v>
      </c>
      <c r="R21" s="107">
        <f t="shared" si="7"/>
        <v>0</v>
      </c>
      <c r="S21" s="107">
        <f t="shared" si="8"/>
        <v>13</v>
      </c>
      <c r="T21" s="107">
        <f t="shared" si="9"/>
        <v>1</v>
      </c>
      <c r="U21" s="107">
        <f t="shared" si="10"/>
        <v>0</v>
      </c>
      <c r="V21" s="110">
        <f t="shared" si="11"/>
        <v>14</v>
      </c>
      <c r="W21" s="107">
        <f t="shared" si="12"/>
        <v>330</v>
      </c>
      <c r="X21" s="121">
        <f t="shared" si="13"/>
        <v>3.125E-2</v>
      </c>
      <c r="Y21" s="107" t="str">
        <f>INDEX(설정!$A$15:$A$20,IF(N21*M21&gt;=O21*L21,K21,J21))</f>
        <v>사파이어</v>
      </c>
      <c r="Z21" s="107">
        <f>ROUND(V21*'공중 유닛 설정'!$B$11,0)</f>
        <v>0</v>
      </c>
      <c r="AA21" s="107">
        <f t="shared" si="14"/>
        <v>14</v>
      </c>
      <c r="AB21" s="107">
        <f t="shared" si="15"/>
        <v>1</v>
      </c>
    </row>
    <row r="22" spans="1:28" x14ac:dyDescent="0.3">
      <c r="A22" s="110" t="s">
        <v>266</v>
      </c>
      <c r="B22" s="106" t="str">
        <f>'공중 유닛 배치'!C22</f>
        <v>5-2</v>
      </c>
      <c r="C22" s="106">
        <f>'공중 유닛 배치'!D22</f>
        <v>18</v>
      </c>
      <c r="D22" s="107">
        <f t="shared" si="0"/>
        <v>5</v>
      </c>
      <c r="E22" s="106">
        <f>'공중 유닛 배치'!L22</f>
        <v>403</v>
      </c>
      <c r="F22" s="106">
        <f>'공중 유닛 배치'!H22</f>
        <v>2</v>
      </c>
      <c r="G22" s="107">
        <f>ROUND('공중 유닛 설정'!$B$12*(1+'공중 유닛 설정'!$B$13)^(C22-1)*(1+'공중 유닛 설정'!$B$14)^(D22-1),0)</f>
        <v>15</v>
      </c>
      <c r="H22" s="108">
        <f t="shared" si="1"/>
        <v>26.866666666666667</v>
      </c>
      <c r="I22" s="107">
        <f>COUNTIF(설정!$C$34:$C$39,"&lt;="&amp;MAX(1,C22-'공중 유닛 설정'!$B$15))</f>
        <v>4</v>
      </c>
      <c r="J22" s="107">
        <f>MIN(I22,MAX(1,COUNTIF(설정!$B$15:$B$20,"&lt;="&amp;H22)))</f>
        <v>3</v>
      </c>
      <c r="K22" s="107">
        <f t="shared" si="2"/>
        <v>4</v>
      </c>
      <c r="L22" s="107">
        <f>INDEX(설정!$B$15:$B$20,J22)</f>
        <v>25</v>
      </c>
      <c r="M22" s="107">
        <f>INDEX(설정!$B$15:$B$20,K22)</f>
        <v>100</v>
      </c>
      <c r="N22" s="107">
        <f t="shared" si="3"/>
        <v>0</v>
      </c>
      <c r="O22" s="107">
        <f t="shared" si="4"/>
        <v>15</v>
      </c>
      <c r="P22" s="107">
        <f t="shared" si="5"/>
        <v>0</v>
      </c>
      <c r="Q22" s="107">
        <f t="shared" si="6"/>
        <v>0</v>
      </c>
      <c r="R22" s="107">
        <f t="shared" si="7"/>
        <v>0</v>
      </c>
      <c r="S22" s="107">
        <f t="shared" si="8"/>
        <v>15</v>
      </c>
      <c r="T22" s="107">
        <f t="shared" si="9"/>
        <v>0</v>
      </c>
      <c r="U22" s="107">
        <f t="shared" si="10"/>
        <v>0</v>
      </c>
      <c r="V22" s="110">
        <f t="shared" si="11"/>
        <v>15</v>
      </c>
      <c r="W22" s="107">
        <f t="shared" si="12"/>
        <v>375</v>
      </c>
      <c r="X22" s="121">
        <f t="shared" si="13"/>
        <v>-6.9478908188585597E-2</v>
      </c>
      <c r="Y22" s="107" t="str">
        <f>INDEX(설정!$A$15:$A$20,IF(N22*M22&gt;=O22*L22,K22,J22))</f>
        <v>사파이어</v>
      </c>
      <c r="Z22" s="107">
        <f>ROUND(V22*'공중 유닛 설정'!$B$11,0)</f>
        <v>0</v>
      </c>
      <c r="AA22" s="107">
        <f t="shared" si="14"/>
        <v>15</v>
      </c>
      <c r="AB22" s="107">
        <f t="shared" si="15"/>
        <v>1</v>
      </c>
    </row>
    <row r="23" spans="1:28" x14ac:dyDescent="0.3">
      <c r="A23" s="110" t="s">
        <v>266</v>
      </c>
      <c r="B23" s="106" t="str">
        <f>'공중 유닛 배치'!C23</f>
        <v>5-3</v>
      </c>
      <c r="C23" s="106">
        <f>'공중 유닛 배치'!D23</f>
        <v>19</v>
      </c>
      <c r="D23" s="107">
        <f t="shared" si="0"/>
        <v>5</v>
      </c>
      <c r="E23" s="106">
        <f>'공중 유닛 배치'!L23</f>
        <v>486</v>
      </c>
      <c r="F23" s="106">
        <f>'공중 유닛 배치'!H23</f>
        <v>3</v>
      </c>
      <c r="G23" s="107">
        <f>ROUND('공중 유닛 설정'!$B$12*(1+'공중 유닛 설정'!$B$13)^(C23-1)*(1+'공중 유닛 설정'!$B$14)^(D23-1),0)</f>
        <v>15</v>
      </c>
      <c r="H23" s="108">
        <f t="shared" si="1"/>
        <v>32.4</v>
      </c>
      <c r="I23" s="107">
        <f>COUNTIF(설정!$C$34:$C$39,"&lt;="&amp;MAX(1,C23-'공중 유닛 설정'!$B$15))</f>
        <v>4</v>
      </c>
      <c r="J23" s="107">
        <f>MIN(I23,MAX(1,COUNTIF(설정!$B$15:$B$20,"&lt;="&amp;H23)))</f>
        <v>3</v>
      </c>
      <c r="K23" s="107">
        <f t="shared" si="2"/>
        <v>4</v>
      </c>
      <c r="L23" s="107">
        <f>INDEX(설정!$B$15:$B$20,J23)</f>
        <v>25</v>
      </c>
      <c r="M23" s="107">
        <f>INDEX(설정!$B$15:$B$20,K23)</f>
        <v>100</v>
      </c>
      <c r="N23" s="107">
        <f t="shared" si="3"/>
        <v>1</v>
      </c>
      <c r="O23" s="107">
        <f t="shared" si="4"/>
        <v>14</v>
      </c>
      <c r="P23" s="107">
        <f t="shared" si="5"/>
        <v>0</v>
      </c>
      <c r="Q23" s="107">
        <f t="shared" si="6"/>
        <v>0</v>
      </c>
      <c r="R23" s="107">
        <f t="shared" si="7"/>
        <v>1</v>
      </c>
      <c r="S23" s="107">
        <f t="shared" si="8"/>
        <v>14</v>
      </c>
      <c r="T23" s="107">
        <f t="shared" si="9"/>
        <v>0</v>
      </c>
      <c r="U23" s="107">
        <f t="shared" si="10"/>
        <v>0</v>
      </c>
      <c r="V23" s="110">
        <f t="shared" si="11"/>
        <v>15</v>
      </c>
      <c r="W23" s="107">
        <f t="shared" si="12"/>
        <v>450</v>
      </c>
      <c r="X23" s="121">
        <f t="shared" si="13"/>
        <v>-7.407407407407407E-2</v>
      </c>
      <c r="Y23" s="107" t="str">
        <f>INDEX(설정!$A$15:$A$20,IF(N23*M23&gt;=O23*L23,K23,J23))</f>
        <v>사파이어</v>
      </c>
      <c r="Z23" s="107">
        <f>ROUND(V23*'공중 유닛 설정'!$B$11,0)</f>
        <v>0</v>
      </c>
      <c r="AA23" s="107">
        <f t="shared" si="14"/>
        <v>15</v>
      </c>
      <c r="AB23" s="107">
        <f t="shared" si="15"/>
        <v>0</v>
      </c>
    </row>
    <row r="24" spans="1:28" x14ac:dyDescent="0.3">
      <c r="A24" s="110" t="s">
        <v>266</v>
      </c>
      <c r="B24" s="106" t="str">
        <f>'공중 유닛 배치'!C24</f>
        <v>5-4</v>
      </c>
      <c r="C24" s="106">
        <f>'공중 유닛 배치'!D24</f>
        <v>20</v>
      </c>
      <c r="D24" s="107">
        <f t="shared" si="0"/>
        <v>5</v>
      </c>
      <c r="E24" s="106">
        <f>'공중 유닛 배치'!L24</f>
        <v>604</v>
      </c>
      <c r="F24" s="106">
        <f>'공중 유닛 배치'!H24</f>
        <v>2</v>
      </c>
      <c r="G24" s="107">
        <f>ROUND('공중 유닛 설정'!$B$12*(1+'공중 유닛 설정'!$B$13)^(C24-1)*(1+'공중 유닛 설정'!$B$14)^(D24-1),0)</f>
        <v>15</v>
      </c>
      <c r="H24" s="108">
        <f t="shared" si="1"/>
        <v>40.266666666666666</v>
      </c>
      <c r="I24" s="107">
        <f>COUNTIF(설정!$C$34:$C$39,"&lt;="&amp;MAX(1,C24-'공중 유닛 설정'!$B$15))</f>
        <v>4</v>
      </c>
      <c r="J24" s="107">
        <f>MIN(I24,MAX(1,COUNTIF(설정!$B$15:$B$20,"&lt;="&amp;H24)))</f>
        <v>3</v>
      </c>
      <c r="K24" s="107">
        <f t="shared" si="2"/>
        <v>4</v>
      </c>
      <c r="L24" s="107">
        <f>INDEX(설정!$B$15:$B$20,J24)</f>
        <v>25</v>
      </c>
      <c r="M24" s="107">
        <f>INDEX(설정!$B$15:$B$20,K24)</f>
        <v>100</v>
      </c>
      <c r="N24" s="107">
        <f t="shared" si="3"/>
        <v>3</v>
      </c>
      <c r="O24" s="107">
        <f t="shared" si="4"/>
        <v>12</v>
      </c>
      <c r="P24" s="107">
        <f t="shared" si="5"/>
        <v>0</v>
      </c>
      <c r="Q24" s="107">
        <f t="shared" si="6"/>
        <v>0</v>
      </c>
      <c r="R24" s="107">
        <f t="shared" si="7"/>
        <v>3</v>
      </c>
      <c r="S24" s="107">
        <f t="shared" si="8"/>
        <v>12</v>
      </c>
      <c r="T24" s="107">
        <f t="shared" si="9"/>
        <v>0</v>
      </c>
      <c r="U24" s="107">
        <f t="shared" si="10"/>
        <v>0</v>
      </c>
      <c r="V24" s="110">
        <f t="shared" si="11"/>
        <v>15</v>
      </c>
      <c r="W24" s="107">
        <f t="shared" si="12"/>
        <v>600</v>
      </c>
      <c r="X24" s="121">
        <f t="shared" si="13"/>
        <v>-6.6225165562914245E-3</v>
      </c>
      <c r="Y24" s="107" t="str">
        <f>INDEX(설정!$A$15:$A$20,IF(N24*M24&gt;=O24*L24,K24,J24))</f>
        <v>루비</v>
      </c>
      <c r="Z24" s="107">
        <f>ROUND(V24*'공중 유닛 설정'!$B$11,0)</f>
        <v>0</v>
      </c>
      <c r="AA24" s="107">
        <f t="shared" si="14"/>
        <v>15</v>
      </c>
      <c r="AB24" s="107">
        <f t="shared" si="15"/>
        <v>0</v>
      </c>
    </row>
    <row r="25" spans="1:28" x14ac:dyDescent="0.3">
      <c r="A25" s="116" t="s">
        <v>266</v>
      </c>
      <c r="B25" s="112" t="str">
        <f>'공중 유닛 배치'!C25</f>
        <v>6-1</v>
      </c>
      <c r="C25" s="112">
        <f>'공중 유닛 배치'!D25</f>
        <v>21</v>
      </c>
      <c r="D25" s="113">
        <f t="shared" si="0"/>
        <v>6</v>
      </c>
      <c r="E25" s="112">
        <f>'공중 유닛 배치'!L25</f>
        <v>735</v>
      </c>
      <c r="F25" s="112">
        <f>'공중 유닛 배치'!H25</f>
        <v>3</v>
      </c>
      <c r="G25" s="113">
        <f>ROUND('공중 유닛 설정'!$B$12*(1+'공중 유닛 설정'!$B$13)^(C25-1)*(1+'공중 유닛 설정'!$B$14)^(D25-1),0)</f>
        <v>17</v>
      </c>
      <c r="H25" s="114">
        <f t="shared" si="1"/>
        <v>43.235294117647058</v>
      </c>
      <c r="I25" s="113">
        <f>COUNTIF(설정!$C$34:$C$39,"&lt;="&amp;MAX(1,C25-'공중 유닛 설정'!$B$15))</f>
        <v>5</v>
      </c>
      <c r="J25" s="113">
        <f>MIN(I25,MAX(1,COUNTIF(설정!$B$15:$B$20,"&lt;="&amp;H25)))</f>
        <v>3</v>
      </c>
      <c r="K25" s="113">
        <f t="shared" si="2"/>
        <v>4</v>
      </c>
      <c r="L25" s="113">
        <f>INDEX(설정!$B$15:$B$20,J25)</f>
        <v>25</v>
      </c>
      <c r="M25" s="113">
        <f>INDEX(설정!$B$15:$B$20,K25)</f>
        <v>100</v>
      </c>
      <c r="N25" s="113">
        <f t="shared" si="3"/>
        <v>4</v>
      </c>
      <c r="O25" s="113">
        <f t="shared" si="4"/>
        <v>13</v>
      </c>
      <c r="P25" s="113">
        <f t="shared" si="5"/>
        <v>0</v>
      </c>
      <c r="Q25" s="113">
        <f t="shared" si="6"/>
        <v>0</v>
      </c>
      <c r="R25" s="113">
        <f t="shared" si="7"/>
        <v>4</v>
      </c>
      <c r="S25" s="113">
        <f t="shared" si="8"/>
        <v>13</v>
      </c>
      <c r="T25" s="113">
        <f t="shared" si="9"/>
        <v>0</v>
      </c>
      <c r="U25" s="113">
        <f t="shared" si="10"/>
        <v>0</v>
      </c>
      <c r="V25" s="116">
        <f t="shared" si="11"/>
        <v>17</v>
      </c>
      <c r="W25" s="113">
        <f t="shared" si="12"/>
        <v>725</v>
      </c>
      <c r="X25" s="122">
        <f t="shared" si="13"/>
        <v>-1.3605442176870763E-2</v>
      </c>
      <c r="Y25" s="113" t="str">
        <f>INDEX(설정!$A$15:$A$20,IF(N25*M25&gt;=O25*L25,K25,J25))</f>
        <v>루비</v>
      </c>
      <c r="Z25" s="113">
        <f>ROUND(V25*'공중 유닛 설정'!$B$11,0)</f>
        <v>0</v>
      </c>
      <c r="AA25" s="113">
        <f t="shared" si="14"/>
        <v>17</v>
      </c>
      <c r="AB25" s="113">
        <f t="shared" si="15"/>
        <v>2</v>
      </c>
    </row>
    <row r="26" spans="1:28" x14ac:dyDescent="0.3">
      <c r="A26" s="116" t="s">
        <v>266</v>
      </c>
      <c r="B26" s="112" t="str">
        <f>'공중 유닛 배치'!C26</f>
        <v>6-2</v>
      </c>
      <c r="C26" s="112">
        <f>'공중 유닛 배치'!D26</f>
        <v>22</v>
      </c>
      <c r="D26" s="113">
        <f t="shared" si="0"/>
        <v>6</v>
      </c>
      <c r="E26" s="112">
        <f>'공중 유닛 배치'!L26</f>
        <v>912</v>
      </c>
      <c r="F26" s="112">
        <f>'공중 유닛 배치'!H26</f>
        <v>2</v>
      </c>
      <c r="G26" s="113">
        <f>ROUND('공중 유닛 설정'!$B$12*(1+'공중 유닛 설정'!$B$13)^(C26-1)*(1+'공중 유닛 설정'!$B$14)^(D26-1),0)</f>
        <v>17</v>
      </c>
      <c r="H26" s="114">
        <f t="shared" si="1"/>
        <v>53.647058823529413</v>
      </c>
      <c r="I26" s="113">
        <f>COUNTIF(설정!$C$34:$C$39,"&lt;="&amp;MAX(1,C26-'공중 유닛 설정'!$B$15))</f>
        <v>5</v>
      </c>
      <c r="J26" s="113">
        <f>MIN(I26,MAX(1,COUNTIF(설정!$B$15:$B$20,"&lt;="&amp;H26)))</f>
        <v>3</v>
      </c>
      <c r="K26" s="113">
        <f t="shared" si="2"/>
        <v>4</v>
      </c>
      <c r="L26" s="113">
        <f>INDEX(설정!$B$15:$B$20,J26)</f>
        <v>25</v>
      </c>
      <c r="M26" s="113">
        <f>INDEX(설정!$B$15:$B$20,K26)</f>
        <v>100</v>
      </c>
      <c r="N26" s="113">
        <f t="shared" si="3"/>
        <v>6</v>
      </c>
      <c r="O26" s="113">
        <f t="shared" si="4"/>
        <v>11</v>
      </c>
      <c r="P26" s="113">
        <f t="shared" si="5"/>
        <v>0</v>
      </c>
      <c r="Q26" s="113">
        <f t="shared" si="6"/>
        <v>0</v>
      </c>
      <c r="R26" s="113">
        <f t="shared" si="7"/>
        <v>6</v>
      </c>
      <c r="S26" s="113">
        <f t="shared" si="8"/>
        <v>11</v>
      </c>
      <c r="T26" s="113">
        <f t="shared" si="9"/>
        <v>0</v>
      </c>
      <c r="U26" s="113">
        <f t="shared" si="10"/>
        <v>0</v>
      </c>
      <c r="V26" s="116">
        <f t="shared" si="11"/>
        <v>17</v>
      </c>
      <c r="W26" s="113">
        <f t="shared" si="12"/>
        <v>875</v>
      </c>
      <c r="X26" s="122">
        <f t="shared" si="13"/>
        <v>-4.0570175438596534E-2</v>
      </c>
      <c r="Y26" s="113" t="str">
        <f>INDEX(설정!$A$15:$A$20,IF(N26*M26&gt;=O26*L26,K26,J26))</f>
        <v>루비</v>
      </c>
      <c r="Z26" s="113">
        <f>ROUND(V26*'공중 유닛 설정'!$B$11,0)</f>
        <v>0</v>
      </c>
      <c r="AA26" s="113">
        <f t="shared" si="14"/>
        <v>17</v>
      </c>
      <c r="AB26" s="113">
        <f t="shared" si="15"/>
        <v>0</v>
      </c>
    </row>
    <row r="27" spans="1:28" x14ac:dyDescent="0.3">
      <c r="A27" s="116" t="s">
        <v>266</v>
      </c>
      <c r="B27" s="112" t="str">
        <f>'공중 유닛 배치'!C27</f>
        <v>6-3</v>
      </c>
      <c r="C27" s="112">
        <f>'공중 유닛 배치'!D27</f>
        <v>23</v>
      </c>
      <c r="D27" s="113">
        <f t="shared" si="0"/>
        <v>6</v>
      </c>
      <c r="E27" s="112">
        <f>'공중 유닛 배치'!L27</f>
        <v>1102</v>
      </c>
      <c r="F27" s="112">
        <f>'공중 유닛 배치'!H27</f>
        <v>3</v>
      </c>
      <c r="G27" s="113">
        <f>ROUND('공중 유닛 설정'!$B$12*(1+'공중 유닛 설정'!$B$13)^(C27-1)*(1+'공중 유닛 설정'!$B$14)^(D27-1),0)</f>
        <v>17</v>
      </c>
      <c r="H27" s="114">
        <f t="shared" si="1"/>
        <v>64.82352941176471</v>
      </c>
      <c r="I27" s="113">
        <f>COUNTIF(설정!$C$34:$C$39,"&lt;="&amp;MAX(1,C27-'공중 유닛 설정'!$B$15))</f>
        <v>5</v>
      </c>
      <c r="J27" s="113">
        <f>MIN(I27,MAX(1,COUNTIF(설정!$B$15:$B$20,"&lt;="&amp;H27)))</f>
        <v>3</v>
      </c>
      <c r="K27" s="113">
        <f t="shared" si="2"/>
        <v>4</v>
      </c>
      <c r="L27" s="113">
        <f>INDEX(설정!$B$15:$B$20,J27)</f>
        <v>25</v>
      </c>
      <c r="M27" s="113">
        <f>INDEX(설정!$B$15:$B$20,K27)</f>
        <v>100</v>
      </c>
      <c r="N27" s="113">
        <f t="shared" si="3"/>
        <v>9</v>
      </c>
      <c r="O27" s="113">
        <f t="shared" si="4"/>
        <v>8</v>
      </c>
      <c r="P27" s="113">
        <f t="shared" si="5"/>
        <v>0</v>
      </c>
      <c r="Q27" s="113">
        <f t="shared" si="6"/>
        <v>0</v>
      </c>
      <c r="R27" s="113">
        <f t="shared" si="7"/>
        <v>9</v>
      </c>
      <c r="S27" s="113">
        <f t="shared" si="8"/>
        <v>8</v>
      </c>
      <c r="T27" s="113">
        <f t="shared" si="9"/>
        <v>0</v>
      </c>
      <c r="U27" s="113">
        <f t="shared" si="10"/>
        <v>0</v>
      </c>
      <c r="V27" s="116">
        <f t="shared" si="11"/>
        <v>17</v>
      </c>
      <c r="W27" s="113">
        <f t="shared" si="12"/>
        <v>1100</v>
      </c>
      <c r="X27" s="122">
        <f t="shared" si="13"/>
        <v>-1.8148820326678861E-3</v>
      </c>
      <c r="Y27" s="113" t="str">
        <f>INDEX(설정!$A$15:$A$20,IF(N27*M27&gt;=O27*L27,K27,J27))</f>
        <v>루비</v>
      </c>
      <c r="Z27" s="113">
        <f>ROUND(V27*'공중 유닛 설정'!$B$11,0)</f>
        <v>0</v>
      </c>
      <c r="AA27" s="113">
        <f t="shared" si="14"/>
        <v>17</v>
      </c>
      <c r="AB27" s="113">
        <f t="shared" si="15"/>
        <v>0</v>
      </c>
    </row>
    <row r="28" spans="1:28" x14ac:dyDescent="0.3">
      <c r="A28" s="116" t="s">
        <v>266</v>
      </c>
      <c r="B28" s="112" t="str">
        <f>'공중 유닛 배치'!C28</f>
        <v>6-4</v>
      </c>
      <c r="C28" s="112">
        <f>'공중 유닛 배치'!D28</f>
        <v>24</v>
      </c>
      <c r="D28" s="113">
        <f t="shared" si="0"/>
        <v>6</v>
      </c>
      <c r="E28" s="112">
        <f>'공중 유닛 배치'!L28</f>
        <v>1375</v>
      </c>
      <c r="F28" s="112">
        <f>'공중 유닛 배치'!H28</f>
        <v>2</v>
      </c>
      <c r="G28" s="113">
        <f>ROUND('공중 유닛 설정'!$B$12*(1+'공중 유닛 설정'!$B$13)^(C28-1)*(1+'공중 유닛 설정'!$B$14)^(D28-1),0)</f>
        <v>18</v>
      </c>
      <c r="H28" s="114">
        <f t="shared" si="1"/>
        <v>76.388888888888886</v>
      </c>
      <c r="I28" s="113">
        <f>COUNTIF(설정!$C$34:$C$39,"&lt;="&amp;MAX(1,C28-'공중 유닛 설정'!$B$15))</f>
        <v>5</v>
      </c>
      <c r="J28" s="113">
        <f>MIN(I28,MAX(1,COUNTIF(설정!$B$15:$B$20,"&lt;="&amp;H28)))</f>
        <v>3</v>
      </c>
      <c r="K28" s="113">
        <f t="shared" si="2"/>
        <v>4</v>
      </c>
      <c r="L28" s="113">
        <f>INDEX(설정!$B$15:$B$20,J28)</f>
        <v>25</v>
      </c>
      <c r="M28" s="113">
        <f>INDEX(설정!$B$15:$B$20,K28)</f>
        <v>100</v>
      </c>
      <c r="N28" s="113">
        <f t="shared" si="3"/>
        <v>12</v>
      </c>
      <c r="O28" s="113">
        <f t="shared" si="4"/>
        <v>6</v>
      </c>
      <c r="P28" s="113">
        <f t="shared" si="5"/>
        <v>0</v>
      </c>
      <c r="Q28" s="113">
        <f t="shared" si="6"/>
        <v>0</v>
      </c>
      <c r="R28" s="113">
        <f t="shared" si="7"/>
        <v>12</v>
      </c>
      <c r="S28" s="113">
        <f t="shared" si="8"/>
        <v>6</v>
      </c>
      <c r="T28" s="113">
        <f t="shared" si="9"/>
        <v>0</v>
      </c>
      <c r="U28" s="113">
        <f t="shared" si="10"/>
        <v>0</v>
      </c>
      <c r="V28" s="116">
        <f t="shared" si="11"/>
        <v>18</v>
      </c>
      <c r="W28" s="113">
        <f t="shared" si="12"/>
        <v>1350</v>
      </c>
      <c r="X28" s="122">
        <f t="shared" si="13"/>
        <v>-1.8181818181818188E-2</v>
      </c>
      <c r="Y28" s="113" t="str">
        <f>INDEX(설정!$A$15:$A$20,IF(N28*M28&gt;=O28*L28,K28,J28))</f>
        <v>루비</v>
      </c>
      <c r="Z28" s="113">
        <f>ROUND(V28*'공중 유닛 설정'!$B$11,0)</f>
        <v>0</v>
      </c>
      <c r="AA28" s="113">
        <f t="shared" si="14"/>
        <v>18</v>
      </c>
      <c r="AB28" s="113">
        <f t="shared" si="15"/>
        <v>1</v>
      </c>
    </row>
    <row r="29" spans="1:28" x14ac:dyDescent="0.3">
      <c r="A29" s="110" t="s">
        <v>266</v>
      </c>
      <c r="B29" s="106" t="str">
        <f>'공중 유닛 배치'!C29</f>
        <v>7-1</v>
      </c>
      <c r="C29" s="106">
        <f>'공중 유닛 배치'!D29</f>
        <v>25</v>
      </c>
      <c r="D29" s="107">
        <f t="shared" si="0"/>
        <v>7</v>
      </c>
      <c r="E29" s="106">
        <f>'공중 유닛 배치'!L29</f>
        <v>1659</v>
      </c>
      <c r="F29" s="106">
        <f>'공중 유닛 배치'!H29</f>
        <v>3</v>
      </c>
      <c r="G29" s="107">
        <f>ROUND('공중 유닛 설정'!$B$12*(1+'공중 유닛 설정'!$B$13)^(C29-1)*(1+'공중 유닛 설정'!$B$14)^(D29-1),0)</f>
        <v>19</v>
      </c>
      <c r="H29" s="108">
        <f t="shared" si="1"/>
        <v>87.315789473684205</v>
      </c>
      <c r="I29" s="107">
        <f>COUNTIF(설정!$C$34:$C$39,"&lt;="&amp;MAX(1,C29-'공중 유닛 설정'!$B$15))</f>
        <v>5</v>
      </c>
      <c r="J29" s="107">
        <f>MIN(I29,MAX(1,COUNTIF(설정!$B$15:$B$20,"&lt;="&amp;H29)))</f>
        <v>3</v>
      </c>
      <c r="K29" s="107">
        <f t="shared" si="2"/>
        <v>4</v>
      </c>
      <c r="L29" s="107">
        <f>INDEX(설정!$B$15:$B$20,J29)</f>
        <v>25</v>
      </c>
      <c r="M29" s="107">
        <f>INDEX(설정!$B$15:$B$20,K29)</f>
        <v>100</v>
      </c>
      <c r="N29" s="107">
        <f t="shared" si="3"/>
        <v>16</v>
      </c>
      <c r="O29" s="107">
        <f t="shared" si="4"/>
        <v>3</v>
      </c>
      <c r="P29" s="107">
        <f t="shared" si="5"/>
        <v>0</v>
      </c>
      <c r="Q29" s="107">
        <f t="shared" si="6"/>
        <v>0</v>
      </c>
      <c r="R29" s="107">
        <f t="shared" si="7"/>
        <v>16</v>
      </c>
      <c r="S29" s="107">
        <f t="shared" si="8"/>
        <v>3</v>
      </c>
      <c r="T29" s="107">
        <f t="shared" si="9"/>
        <v>0</v>
      </c>
      <c r="U29" s="107">
        <f t="shared" si="10"/>
        <v>0</v>
      </c>
      <c r="V29" s="110">
        <f t="shared" si="11"/>
        <v>19</v>
      </c>
      <c r="W29" s="107">
        <f t="shared" si="12"/>
        <v>1675</v>
      </c>
      <c r="X29" s="121">
        <f t="shared" si="13"/>
        <v>9.6443640747438941E-3</v>
      </c>
      <c r="Y29" s="107" t="str">
        <f>INDEX(설정!$A$15:$A$20,IF(N29*M29&gt;=O29*L29,K29,J29))</f>
        <v>루비</v>
      </c>
      <c r="Z29" s="107">
        <f>ROUND(V29*'공중 유닛 설정'!$B$11,0)</f>
        <v>0</v>
      </c>
      <c r="AA29" s="107">
        <f t="shared" si="14"/>
        <v>19</v>
      </c>
      <c r="AB29" s="107">
        <f t="shared" si="15"/>
        <v>1</v>
      </c>
    </row>
    <row r="30" spans="1:28" x14ac:dyDescent="0.3">
      <c r="A30" s="110" t="s">
        <v>266</v>
      </c>
      <c r="B30" s="106" t="str">
        <f>'공중 유닛 배치'!C30</f>
        <v>7-2</v>
      </c>
      <c r="C30" s="106">
        <f>'공중 유닛 배치'!D30</f>
        <v>26</v>
      </c>
      <c r="D30" s="107">
        <f t="shared" si="0"/>
        <v>7</v>
      </c>
      <c r="E30" s="106">
        <f>'공중 유닛 배치'!L30</f>
        <v>2073</v>
      </c>
      <c r="F30" s="106">
        <f>'공중 유닛 배치'!H30</f>
        <v>2</v>
      </c>
      <c r="G30" s="107">
        <f>ROUND('공중 유닛 설정'!$B$12*(1+'공중 유닛 설정'!$B$13)^(C30-1)*(1+'공중 유닛 설정'!$B$14)^(D30-1),0)</f>
        <v>20</v>
      </c>
      <c r="H30" s="108">
        <f t="shared" si="1"/>
        <v>103.65</v>
      </c>
      <c r="I30" s="107">
        <f>COUNTIF(설정!$C$34:$C$39,"&lt;="&amp;MAX(1,C30-'공중 유닛 설정'!$B$15))</f>
        <v>5</v>
      </c>
      <c r="J30" s="107">
        <f>MIN(I30,MAX(1,COUNTIF(설정!$B$15:$B$20,"&lt;="&amp;H30)))</f>
        <v>4</v>
      </c>
      <c r="K30" s="107">
        <f t="shared" si="2"/>
        <v>5</v>
      </c>
      <c r="L30" s="107">
        <f>INDEX(설정!$B$15:$B$20,J30)</f>
        <v>100</v>
      </c>
      <c r="M30" s="107">
        <f>INDEX(설정!$B$15:$B$20,K30)</f>
        <v>500</v>
      </c>
      <c r="N30" s="107">
        <f t="shared" si="3"/>
        <v>0</v>
      </c>
      <c r="O30" s="107">
        <f t="shared" si="4"/>
        <v>20</v>
      </c>
      <c r="P30" s="107">
        <f t="shared" si="5"/>
        <v>0</v>
      </c>
      <c r="Q30" s="107">
        <f t="shared" si="6"/>
        <v>0</v>
      </c>
      <c r="R30" s="107">
        <f t="shared" si="7"/>
        <v>20</v>
      </c>
      <c r="S30" s="107">
        <f t="shared" si="8"/>
        <v>0</v>
      </c>
      <c r="T30" s="107">
        <f t="shared" si="9"/>
        <v>0</v>
      </c>
      <c r="U30" s="107">
        <f t="shared" si="10"/>
        <v>0</v>
      </c>
      <c r="V30" s="110">
        <f t="shared" si="11"/>
        <v>20</v>
      </c>
      <c r="W30" s="107">
        <f t="shared" si="12"/>
        <v>2000</v>
      </c>
      <c r="X30" s="121">
        <f t="shared" si="13"/>
        <v>-3.5214664737096002E-2</v>
      </c>
      <c r="Y30" s="107" t="str">
        <f>INDEX(설정!$A$15:$A$20,IF(N30*M30&gt;=O30*L30,K30,J30))</f>
        <v>루비</v>
      </c>
      <c r="Z30" s="107">
        <f>ROUND(V30*'공중 유닛 설정'!$B$11,0)</f>
        <v>0</v>
      </c>
      <c r="AA30" s="107">
        <f t="shared" si="14"/>
        <v>20</v>
      </c>
      <c r="AB30" s="107">
        <f t="shared" si="15"/>
        <v>1</v>
      </c>
    </row>
    <row r="31" spans="1:28" x14ac:dyDescent="0.3">
      <c r="A31" s="110" t="s">
        <v>266</v>
      </c>
      <c r="B31" s="106" t="str">
        <f>'공중 유닛 배치'!C31</f>
        <v>7-3</v>
      </c>
      <c r="C31" s="106">
        <f>'공중 유닛 배치'!D31</f>
        <v>27</v>
      </c>
      <c r="D31" s="107">
        <f t="shared" si="0"/>
        <v>7</v>
      </c>
      <c r="E31" s="106">
        <f>'공중 유닛 배치'!L31</f>
        <v>2488</v>
      </c>
      <c r="F31" s="106">
        <f>'공중 유닛 배치'!H31</f>
        <v>3</v>
      </c>
      <c r="G31" s="107">
        <f>ROUND('공중 유닛 설정'!$B$12*(1+'공중 유닛 설정'!$B$13)^(C31-1)*(1+'공중 유닛 설정'!$B$14)^(D31-1),0)</f>
        <v>20</v>
      </c>
      <c r="H31" s="108">
        <f t="shared" si="1"/>
        <v>124.4</v>
      </c>
      <c r="I31" s="107">
        <f>COUNTIF(설정!$C$34:$C$39,"&lt;="&amp;MAX(1,C31-'공중 유닛 설정'!$B$15))</f>
        <v>5</v>
      </c>
      <c r="J31" s="107">
        <f>MIN(I31,MAX(1,COUNTIF(설정!$B$15:$B$20,"&lt;="&amp;H31)))</f>
        <v>4</v>
      </c>
      <c r="K31" s="107">
        <f t="shared" si="2"/>
        <v>5</v>
      </c>
      <c r="L31" s="107">
        <f>INDEX(설정!$B$15:$B$20,J31)</f>
        <v>100</v>
      </c>
      <c r="M31" s="107">
        <f>INDEX(설정!$B$15:$B$20,K31)</f>
        <v>500</v>
      </c>
      <c r="N31" s="107">
        <f t="shared" si="3"/>
        <v>1</v>
      </c>
      <c r="O31" s="107">
        <f t="shared" si="4"/>
        <v>19</v>
      </c>
      <c r="P31" s="107">
        <f t="shared" si="5"/>
        <v>0</v>
      </c>
      <c r="Q31" s="107">
        <f t="shared" si="6"/>
        <v>1</v>
      </c>
      <c r="R31" s="107">
        <f t="shared" si="7"/>
        <v>19</v>
      </c>
      <c r="S31" s="107">
        <f t="shared" si="8"/>
        <v>0</v>
      </c>
      <c r="T31" s="107">
        <f t="shared" si="9"/>
        <v>0</v>
      </c>
      <c r="U31" s="107">
        <f t="shared" si="10"/>
        <v>0</v>
      </c>
      <c r="V31" s="110">
        <f t="shared" si="11"/>
        <v>20</v>
      </c>
      <c r="W31" s="107">
        <f t="shared" si="12"/>
        <v>2400</v>
      </c>
      <c r="X31" s="121">
        <f t="shared" si="13"/>
        <v>-3.5369774919614128E-2</v>
      </c>
      <c r="Y31" s="107" t="str">
        <f>INDEX(설정!$A$15:$A$20,IF(N31*M31&gt;=O31*L31,K31,J31))</f>
        <v>루비</v>
      </c>
      <c r="Z31" s="107">
        <f>ROUND(V31*'공중 유닛 설정'!$B$11,0)</f>
        <v>0</v>
      </c>
      <c r="AA31" s="107">
        <f t="shared" si="14"/>
        <v>20</v>
      </c>
      <c r="AB31" s="107">
        <f t="shared" si="15"/>
        <v>0</v>
      </c>
    </row>
    <row r="32" spans="1:28" x14ac:dyDescent="0.3">
      <c r="A32" s="110" t="s">
        <v>266</v>
      </c>
      <c r="B32" s="106" t="str">
        <f>'공중 유닛 배치'!C32</f>
        <v>7-4</v>
      </c>
      <c r="C32" s="106">
        <f>'공중 유닛 배치'!D32</f>
        <v>28</v>
      </c>
      <c r="D32" s="107">
        <f t="shared" si="0"/>
        <v>7</v>
      </c>
      <c r="E32" s="106">
        <f>'공중 유닛 배치'!L32</f>
        <v>3080</v>
      </c>
      <c r="F32" s="106">
        <f>'공중 유닛 배치'!H32</f>
        <v>2</v>
      </c>
      <c r="G32" s="107">
        <f>ROUND('공중 유닛 설정'!$B$12*(1+'공중 유닛 설정'!$B$13)^(C32-1)*(1+'공중 유닛 설정'!$B$14)^(D32-1),0)</f>
        <v>20</v>
      </c>
      <c r="H32" s="108">
        <f t="shared" si="1"/>
        <v>154</v>
      </c>
      <c r="I32" s="107">
        <f>COUNTIF(설정!$C$34:$C$39,"&lt;="&amp;MAX(1,C32-'공중 유닛 설정'!$B$15))</f>
        <v>5</v>
      </c>
      <c r="J32" s="107">
        <f>MIN(I32,MAX(1,COUNTIF(설정!$B$15:$B$20,"&lt;="&amp;H32)))</f>
        <v>4</v>
      </c>
      <c r="K32" s="107">
        <f t="shared" si="2"/>
        <v>5</v>
      </c>
      <c r="L32" s="107">
        <f>INDEX(설정!$B$15:$B$20,J32)</f>
        <v>100</v>
      </c>
      <c r="M32" s="107">
        <f>INDEX(설정!$B$15:$B$20,K32)</f>
        <v>500</v>
      </c>
      <c r="N32" s="107">
        <f t="shared" si="3"/>
        <v>3</v>
      </c>
      <c r="O32" s="107">
        <f t="shared" si="4"/>
        <v>17</v>
      </c>
      <c r="P32" s="107">
        <f t="shared" si="5"/>
        <v>0</v>
      </c>
      <c r="Q32" s="107">
        <f t="shared" si="6"/>
        <v>3</v>
      </c>
      <c r="R32" s="107">
        <f t="shared" si="7"/>
        <v>17</v>
      </c>
      <c r="S32" s="107">
        <f t="shared" si="8"/>
        <v>0</v>
      </c>
      <c r="T32" s="107">
        <f t="shared" si="9"/>
        <v>0</v>
      </c>
      <c r="U32" s="107">
        <f t="shared" si="10"/>
        <v>0</v>
      </c>
      <c r="V32" s="110">
        <f t="shared" si="11"/>
        <v>20</v>
      </c>
      <c r="W32" s="107">
        <f t="shared" si="12"/>
        <v>3200</v>
      </c>
      <c r="X32" s="121">
        <f t="shared" si="13"/>
        <v>3.8961038961038863E-2</v>
      </c>
      <c r="Y32" s="107" t="str">
        <f>INDEX(설정!$A$15:$A$20,IF(N32*M32&gt;=O32*L32,K32,J32))</f>
        <v>루비</v>
      </c>
      <c r="Z32" s="107">
        <f>ROUND(V32*'공중 유닛 설정'!$B$11,0)</f>
        <v>0</v>
      </c>
      <c r="AA32" s="107">
        <f t="shared" si="14"/>
        <v>20</v>
      </c>
      <c r="AB32" s="107">
        <f t="shared" si="15"/>
        <v>0</v>
      </c>
    </row>
    <row r="33" spans="1:28" x14ac:dyDescent="0.3">
      <c r="A33" s="110" t="s">
        <v>267</v>
      </c>
      <c r="B33" s="106" t="str">
        <f>'공중 유닛 배치'!C5</f>
        <v>1-1</v>
      </c>
      <c r="C33" s="106">
        <f>'공중 유닛 배치'!D5</f>
        <v>1</v>
      </c>
      <c r="D33" s="107">
        <f t="shared" si="0"/>
        <v>1</v>
      </c>
      <c r="E33" s="106">
        <f>'공중 유닛 배치'!R5</f>
        <v>14</v>
      </c>
      <c r="F33" s="106">
        <f>'공중 유닛 배치'!N5</f>
        <v>0</v>
      </c>
      <c r="G33" s="107">
        <f>ROUND('공중 유닛 설정'!$C$12*(1+'공중 유닛 설정'!$C$13)^(C33-1)*(1+'공중 유닛 설정'!$C$14)^(D33-1),0)</f>
        <v>10</v>
      </c>
      <c r="H33" s="108">
        <f t="shared" si="1"/>
        <v>1.4</v>
      </c>
      <c r="I33" s="107">
        <f>COUNTIF(설정!$C$34:$C$39,"&lt;="&amp;MAX(1,C33-'공중 유닛 설정'!$C$15))</f>
        <v>2</v>
      </c>
      <c r="J33" s="107">
        <f>MIN(I33,MAX(1,COUNTIF(설정!$B$15:$B$20,"&lt;="&amp;H33)))</f>
        <v>1</v>
      </c>
      <c r="K33" s="107">
        <f t="shared" si="2"/>
        <v>2</v>
      </c>
      <c r="L33" s="107">
        <f>INDEX(설정!$B$15:$B$20,J33)</f>
        <v>1</v>
      </c>
      <c r="M33" s="107">
        <f>INDEX(설정!$B$15:$B$20,K33)</f>
        <v>5</v>
      </c>
      <c r="N33" s="107">
        <f t="shared" si="3"/>
        <v>1</v>
      </c>
      <c r="O33" s="107">
        <f t="shared" si="4"/>
        <v>9</v>
      </c>
      <c r="P33" s="107">
        <f t="shared" si="5"/>
        <v>0</v>
      </c>
      <c r="Q33" s="107">
        <f t="shared" si="6"/>
        <v>0</v>
      </c>
      <c r="R33" s="107">
        <f t="shared" si="7"/>
        <v>0</v>
      </c>
      <c r="S33" s="107">
        <f t="shared" si="8"/>
        <v>0</v>
      </c>
      <c r="T33" s="107">
        <f t="shared" si="9"/>
        <v>1</v>
      </c>
      <c r="U33" s="107">
        <f t="shared" si="10"/>
        <v>9</v>
      </c>
      <c r="V33" s="110">
        <f t="shared" si="11"/>
        <v>10</v>
      </c>
      <c r="W33" s="107">
        <f t="shared" si="12"/>
        <v>14</v>
      </c>
      <c r="X33" s="121">
        <f t="shared" si="13"/>
        <v>0</v>
      </c>
      <c r="Y33" s="107" t="str">
        <f>INDEX(설정!$A$15:$A$20,IF(N33*M33&gt;=O33*L33,K33,J33))</f>
        <v>금 코인</v>
      </c>
      <c r="Z33" s="107">
        <f>ROUND(V33*'공중 유닛 설정'!$C$11,0)</f>
        <v>0</v>
      </c>
      <c r="AA33" s="107">
        <f t="shared" si="14"/>
        <v>10</v>
      </c>
      <c r="AB33" s="107" t="s">
        <v>231</v>
      </c>
    </row>
    <row r="34" spans="1:28" x14ac:dyDescent="0.3">
      <c r="A34" s="110" t="s">
        <v>267</v>
      </c>
      <c r="B34" s="106" t="str">
        <f>'공중 유닛 배치'!C6</f>
        <v>1-2</v>
      </c>
      <c r="C34" s="106">
        <f>'공중 유닛 배치'!D6</f>
        <v>2</v>
      </c>
      <c r="D34" s="107">
        <f t="shared" si="0"/>
        <v>1</v>
      </c>
      <c r="E34" s="106">
        <f>'공중 유닛 배치'!R6</f>
        <v>18</v>
      </c>
      <c r="F34" s="106">
        <f>'공중 유닛 배치'!N6</f>
        <v>1</v>
      </c>
      <c r="G34" s="107">
        <f>ROUND('공중 유닛 설정'!$C$12*(1+'공중 유닛 설정'!$C$13)^(C34-1)*(1+'공중 유닛 설정'!$C$14)^(D34-1),0)</f>
        <v>10</v>
      </c>
      <c r="H34" s="108">
        <f t="shared" si="1"/>
        <v>1.8</v>
      </c>
      <c r="I34" s="107">
        <f>COUNTIF(설정!$C$34:$C$39,"&lt;="&amp;MAX(1,C34-'공중 유닛 설정'!$C$15))</f>
        <v>2</v>
      </c>
      <c r="J34" s="107">
        <f>MIN(I34,MAX(1,COUNTIF(설정!$B$15:$B$20,"&lt;="&amp;H34)))</f>
        <v>1</v>
      </c>
      <c r="K34" s="107">
        <f t="shared" si="2"/>
        <v>2</v>
      </c>
      <c r="L34" s="107">
        <f>INDEX(설정!$B$15:$B$20,J34)</f>
        <v>1</v>
      </c>
      <c r="M34" s="107">
        <f>INDEX(설정!$B$15:$B$20,K34)</f>
        <v>5</v>
      </c>
      <c r="N34" s="107">
        <f t="shared" si="3"/>
        <v>2</v>
      </c>
      <c r="O34" s="107">
        <f t="shared" si="4"/>
        <v>8</v>
      </c>
      <c r="P34" s="107">
        <f t="shared" si="5"/>
        <v>0</v>
      </c>
      <c r="Q34" s="107">
        <f t="shared" si="6"/>
        <v>0</v>
      </c>
      <c r="R34" s="107">
        <f t="shared" si="7"/>
        <v>0</v>
      </c>
      <c r="S34" s="107">
        <f t="shared" si="8"/>
        <v>0</v>
      </c>
      <c r="T34" s="107">
        <f t="shared" si="9"/>
        <v>2</v>
      </c>
      <c r="U34" s="107">
        <f t="shared" si="10"/>
        <v>8</v>
      </c>
      <c r="V34" s="110">
        <f t="shared" si="11"/>
        <v>10</v>
      </c>
      <c r="W34" s="107">
        <f t="shared" si="12"/>
        <v>18</v>
      </c>
      <c r="X34" s="121">
        <f t="shared" si="13"/>
        <v>0</v>
      </c>
      <c r="Y34" s="107" t="str">
        <f>INDEX(설정!$A$15:$A$20,IF(N34*M34&gt;=O34*L34,K34,J34))</f>
        <v>금괴</v>
      </c>
      <c r="Z34" s="107">
        <f>ROUND(V34*'공중 유닛 설정'!$C$11,0)</f>
        <v>0</v>
      </c>
      <c r="AA34" s="107">
        <f t="shared" si="14"/>
        <v>10</v>
      </c>
      <c r="AB34" s="107">
        <f t="shared" ref="AB34:AB60" si="16">V34-V33</f>
        <v>0</v>
      </c>
    </row>
    <row r="35" spans="1:28" x14ac:dyDescent="0.3">
      <c r="A35" s="110" t="s">
        <v>267</v>
      </c>
      <c r="B35" s="106" t="str">
        <f>'공중 유닛 배치'!C7</f>
        <v>1-3</v>
      </c>
      <c r="C35" s="106">
        <f>'공중 유닛 배치'!D7</f>
        <v>3</v>
      </c>
      <c r="D35" s="107">
        <f t="shared" si="0"/>
        <v>1</v>
      </c>
      <c r="E35" s="106">
        <f>'공중 유닛 배치'!R7</f>
        <v>21</v>
      </c>
      <c r="F35" s="106">
        <f>'공중 유닛 배치'!N7</f>
        <v>0</v>
      </c>
      <c r="G35" s="107">
        <f>ROUND('공중 유닛 설정'!$C$12*(1+'공중 유닛 설정'!$C$13)^(C35-1)*(1+'공중 유닛 설정'!$C$14)^(D35-1),0)</f>
        <v>10</v>
      </c>
      <c r="H35" s="108">
        <f t="shared" si="1"/>
        <v>2.1</v>
      </c>
      <c r="I35" s="107">
        <f>COUNTIF(설정!$C$34:$C$39,"&lt;="&amp;MAX(1,C35-'공중 유닛 설정'!$C$15))</f>
        <v>2</v>
      </c>
      <c r="J35" s="107">
        <f>MIN(I35,MAX(1,COUNTIF(설정!$B$15:$B$20,"&lt;="&amp;H35)))</f>
        <v>1</v>
      </c>
      <c r="K35" s="107">
        <f t="shared" si="2"/>
        <v>2</v>
      </c>
      <c r="L35" s="107">
        <f>INDEX(설정!$B$15:$B$20,J35)</f>
        <v>1</v>
      </c>
      <c r="M35" s="107">
        <f>INDEX(설정!$B$15:$B$20,K35)</f>
        <v>5</v>
      </c>
      <c r="N35" s="107">
        <f t="shared" si="3"/>
        <v>3</v>
      </c>
      <c r="O35" s="107">
        <f t="shared" si="4"/>
        <v>7</v>
      </c>
      <c r="P35" s="107">
        <f t="shared" si="5"/>
        <v>0</v>
      </c>
      <c r="Q35" s="107">
        <f t="shared" si="6"/>
        <v>0</v>
      </c>
      <c r="R35" s="107">
        <f t="shared" si="7"/>
        <v>0</v>
      </c>
      <c r="S35" s="107">
        <f t="shared" si="8"/>
        <v>0</v>
      </c>
      <c r="T35" s="107">
        <f t="shared" si="9"/>
        <v>3</v>
      </c>
      <c r="U35" s="107">
        <f t="shared" si="10"/>
        <v>7</v>
      </c>
      <c r="V35" s="110">
        <f t="shared" si="11"/>
        <v>10</v>
      </c>
      <c r="W35" s="107">
        <f t="shared" si="12"/>
        <v>22</v>
      </c>
      <c r="X35" s="121">
        <f t="shared" si="13"/>
        <v>4.7619047619047672E-2</v>
      </c>
      <c r="Y35" s="107" t="str">
        <f>INDEX(설정!$A$15:$A$20,IF(N35*M35&gt;=O35*L35,K35,J35))</f>
        <v>금괴</v>
      </c>
      <c r="Z35" s="107">
        <f>ROUND(V35*'공중 유닛 설정'!$C$11,0)</f>
        <v>0</v>
      </c>
      <c r="AA35" s="107">
        <f t="shared" si="14"/>
        <v>10</v>
      </c>
      <c r="AB35" s="107">
        <f t="shared" si="16"/>
        <v>0</v>
      </c>
    </row>
    <row r="36" spans="1:28" x14ac:dyDescent="0.3">
      <c r="A36" s="110" t="s">
        <v>267</v>
      </c>
      <c r="B36" s="106" t="str">
        <f>'공중 유닛 배치'!C8</f>
        <v>1-4</v>
      </c>
      <c r="C36" s="106">
        <f>'공중 유닛 배치'!D8</f>
        <v>4</v>
      </c>
      <c r="D36" s="107">
        <f t="shared" si="0"/>
        <v>1</v>
      </c>
      <c r="E36" s="106">
        <f>'공중 유닛 배치'!R8</f>
        <v>26</v>
      </c>
      <c r="F36" s="106">
        <f>'공중 유닛 배치'!N8</f>
        <v>1</v>
      </c>
      <c r="G36" s="107">
        <f>ROUND('공중 유닛 설정'!$C$12*(1+'공중 유닛 설정'!$C$13)^(C36-1)*(1+'공중 유닛 설정'!$C$14)^(D36-1),0)</f>
        <v>11</v>
      </c>
      <c r="H36" s="108">
        <f t="shared" si="1"/>
        <v>2.3636363636363638</v>
      </c>
      <c r="I36" s="107">
        <f>COUNTIF(설정!$C$34:$C$39,"&lt;="&amp;MAX(1,C36-'공중 유닛 설정'!$C$15))</f>
        <v>2</v>
      </c>
      <c r="J36" s="107">
        <f>MIN(I36,MAX(1,COUNTIF(설정!$B$15:$B$20,"&lt;="&amp;H36)))</f>
        <v>1</v>
      </c>
      <c r="K36" s="107">
        <f t="shared" si="2"/>
        <v>2</v>
      </c>
      <c r="L36" s="107">
        <f>INDEX(설정!$B$15:$B$20,J36)</f>
        <v>1</v>
      </c>
      <c r="M36" s="107">
        <f>INDEX(설정!$B$15:$B$20,K36)</f>
        <v>5</v>
      </c>
      <c r="N36" s="107">
        <f t="shared" si="3"/>
        <v>4</v>
      </c>
      <c r="O36" s="107">
        <f t="shared" si="4"/>
        <v>7</v>
      </c>
      <c r="P36" s="107">
        <f t="shared" si="5"/>
        <v>0</v>
      </c>
      <c r="Q36" s="107">
        <f t="shared" si="6"/>
        <v>0</v>
      </c>
      <c r="R36" s="107">
        <f t="shared" si="7"/>
        <v>0</v>
      </c>
      <c r="S36" s="107">
        <f t="shared" si="8"/>
        <v>0</v>
      </c>
      <c r="T36" s="107">
        <f t="shared" si="9"/>
        <v>4</v>
      </c>
      <c r="U36" s="107">
        <f t="shared" si="10"/>
        <v>7</v>
      </c>
      <c r="V36" s="110">
        <f t="shared" si="11"/>
        <v>11</v>
      </c>
      <c r="W36" s="107">
        <f t="shared" si="12"/>
        <v>27</v>
      </c>
      <c r="X36" s="121">
        <f t="shared" si="13"/>
        <v>3.8461538461538547E-2</v>
      </c>
      <c r="Y36" s="107" t="str">
        <f>INDEX(설정!$A$15:$A$20,IF(N36*M36&gt;=O36*L36,K36,J36))</f>
        <v>금괴</v>
      </c>
      <c r="Z36" s="107">
        <f>ROUND(V36*'공중 유닛 설정'!$C$11,0)</f>
        <v>0</v>
      </c>
      <c r="AA36" s="107">
        <f t="shared" si="14"/>
        <v>11</v>
      </c>
      <c r="AB36" s="107">
        <f t="shared" si="16"/>
        <v>1</v>
      </c>
    </row>
    <row r="37" spans="1:28" x14ac:dyDescent="0.3">
      <c r="A37" s="116" t="s">
        <v>267</v>
      </c>
      <c r="B37" s="112" t="str">
        <f>'공중 유닛 배치'!C9</f>
        <v>2-1</v>
      </c>
      <c r="C37" s="112">
        <f>'공중 유닛 배치'!D9</f>
        <v>5</v>
      </c>
      <c r="D37" s="113">
        <f t="shared" ref="D37:D68" si="17">INT((C37-1)/4)+1</f>
        <v>2</v>
      </c>
      <c r="E37" s="112">
        <f>'공중 유닛 배치'!R9</f>
        <v>32</v>
      </c>
      <c r="F37" s="112">
        <f>'공중 유닛 배치'!N9</f>
        <v>0</v>
      </c>
      <c r="G37" s="113">
        <f>ROUND('공중 유닛 설정'!$C$12*(1+'공중 유닛 설정'!$C$13)^(C37-1)*(1+'공중 유닛 설정'!$C$14)^(D37-1),0)</f>
        <v>12</v>
      </c>
      <c r="H37" s="114">
        <f t="shared" ref="H37:H68" si="18">IF(G37=0,0,E37/G37)</f>
        <v>2.6666666666666665</v>
      </c>
      <c r="I37" s="113">
        <f>COUNTIF(설정!$C$34:$C$39,"&lt;="&amp;MAX(1,C37-'공중 유닛 설정'!$C$15))</f>
        <v>3</v>
      </c>
      <c r="J37" s="113">
        <f>MIN(I37,MAX(1,COUNTIF(설정!$B$15:$B$20,"&lt;="&amp;H37)))</f>
        <v>1</v>
      </c>
      <c r="K37" s="113">
        <f t="shared" ref="K37:K68" si="19">IF(J37&lt;I37,J37+1,J37)</f>
        <v>2</v>
      </c>
      <c r="L37" s="113">
        <f>INDEX(설정!$B$15:$B$20,J37)</f>
        <v>1</v>
      </c>
      <c r="M37" s="113">
        <f>INDEX(설정!$B$15:$B$20,K37)</f>
        <v>5</v>
      </c>
      <c r="N37" s="113">
        <f t="shared" ref="N37:N68" si="20">IF(K37=J37,0,MIN(G37,MAX(0,ROUND((E37-G37*L37)/(M37-L37),0))))</f>
        <v>5</v>
      </c>
      <c r="O37" s="113">
        <f t="shared" ref="O37:O68" si="21">IF(K37=J37,ROUND(E37/L37,0),G37-N37)</f>
        <v>7</v>
      </c>
      <c r="P37" s="113">
        <f t="shared" ref="P37:P60" si="22">IF($K37=6,$N37,0)+IF($J37=6,$O37,0)</f>
        <v>0</v>
      </c>
      <c r="Q37" s="113">
        <f t="shared" ref="Q37:Q60" si="23">IF($K37=5,$N37,0)+IF($J37=5,$O37,0)</f>
        <v>0</v>
      </c>
      <c r="R37" s="113">
        <f t="shared" ref="R37:R60" si="24">IF($K37=4,$N37,0)+IF($J37=4,$O37,0)</f>
        <v>0</v>
      </c>
      <c r="S37" s="113">
        <f t="shared" ref="S37:S60" si="25">IF($K37=3,$N37,0)+IF($J37=3,$O37,0)</f>
        <v>0</v>
      </c>
      <c r="T37" s="113">
        <f t="shared" ref="T37:T60" si="26">IF($K37=2,$N37,0)+IF($J37=2,$O37,0)</f>
        <v>5</v>
      </c>
      <c r="U37" s="113">
        <f t="shared" ref="U37:U60" si="27">IF($K37=1,$N37,0)+IF($J37=1,$O37,0)</f>
        <v>7</v>
      </c>
      <c r="V37" s="116">
        <f t="shared" ref="V37:V68" si="28">SUM(P37:U37)</f>
        <v>12</v>
      </c>
      <c r="W37" s="113">
        <f t="shared" ref="W37:W60" si="29">SUMPRODUCT(P37:U37,$P$3:$U$3)</f>
        <v>32</v>
      </c>
      <c r="X37" s="122">
        <f t="shared" ref="X37:X68" si="30">IF(E37=0,0,W37/E37-1)</f>
        <v>0</v>
      </c>
      <c r="Y37" s="113" t="str">
        <f>INDEX(설정!$A$15:$A$20,IF(N37*M37&gt;=O37*L37,K37,J37))</f>
        <v>금괴</v>
      </c>
      <c r="Z37" s="113">
        <f>ROUND(V37*'공중 유닛 설정'!$C$11,0)</f>
        <v>0</v>
      </c>
      <c r="AA37" s="113">
        <f t="shared" ref="AA37:AA68" si="31">V37-Z37</f>
        <v>12</v>
      </c>
      <c r="AB37" s="113">
        <f t="shared" si="16"/>
        <v>1</v>
      </c>
    </row>
    <row r="38" spans="1:28" x14ac:dyDescent="0.3">
      <c r="A38" s="116" t="s">
        <v>267</v>
      </c>
      <c r="B38" s="112" t="str">
        <f>'공중 유닛 배치'!C10</f>
        <v>2-2</v>
      </c>
      <c r="C38" s="112">
        <f>'공중 유닛 배치'!D10</f>
        <v>6</v>
      </c>
      <c r="D38" s="113">
        <f t="shared" si="17"/>
        <v>2</v>
      </c>
      <c r="E38" s="112">
        <f>'공중 유닛 배치'!R10</f>
        <v>40</v>
      </c>
      <c r="F38" s="112">
        <f>'공중 유닛 배치'!N10</f>
        <v>1</v>
      </c>
      <c r="G38" s="113">
        <f>ROUND('공중 유닛 설정'!$C$12*(1+'공중 유닛 설정'!$C$13)^(C38-1)*(1+'공중 유닛 설정'!$C$14)^(D38-1),0)</f>
        <v>12</v>
      </c>
      <c r="H38" s="114">
        <f t="shared" si="18"/>
        <v>3.3333333333333335</v>
      </c>
      <c r="I38" s="113">
        <f>COUNTIF(설정!$C$34:$C$39,"&lt;="&amp;MAX(1,C38-'공중 유닛 설정'!$C$15))</f>
        <v>3</v>
      </c>
      <c r="J38" s="113">
        <f>MIN(I38,MAX(1,COUNTIF(설정!$B$15:$B$20,"&lt;="&amp;H38)))</f>
        <v>1</v>
      </c>
      <c r="K38" s="113">
        <f t="shared" si="19"/>
        <v>2</v>
      </c>
      <c r="L38" s="113">
        <f>INDEX(설정!$B$15:$B$20,J38)</f>
        <v>1</v>
      </c>
      <c r="M38" s="113">
        <f>INDEX(설정!$B$15:$B$20,K38)</f>
        <v>5</v>
      </c>
      <c r="N38" s="113">
        <f t="shared" si="20"/>
        <v>7</v>
      </c>
      <c r="O38" s="113">
        <f t="shared" si="21"/>
        <v>5</v>
      </c>
      <c r="P38" s="113">
        <f t="shared" si="22"/>
        <v>0</v>
      </c>
      <c r="Q38" s="113">
        <f t="shared" si="23"/>
        <v>0</v>
      </c>
      <c r="R38" s="113">
        <f t="shared" si="24"/>
        <v>0</v>
      </c>
      <c r="S38" s="113">
        <f t="shared" si="25"/>
        <v>0</v>
      </c>
      <c r="T38" s="113">
        <f t="shared" si="26"/>
        <v>7</v>
      </c>
      <c r="U38" s="113">
        <f t="shared" si="27"/>
        <v>5</v>
      </c>
      <c r="V38" s="116">
        <f t="shared" si="28"/>
        <v>12</v>
      </c>
      <c r="W38" s="113">
        <f t="shared" si="29"/>
        <v>40</v>
      </c>
      <c r="X38" s="122">
        <f t="shared" si="30"/>
        <v>0</v>
      </c>
      <c r="Y38" s="113" t="str">
        <f>INDEX(설정!$A$15:$A$20,IF(N38*M38&gt;=O38*L38,K38,J38))</f>
        <v>금괴</v>
      </c>
      <c r="Z38" s="113">
        <f>ROUND(V38*'공중 유닛 설정'!$C$11,0)</f>
        <v>0</v>
      </c>
      <c r="AA38" s="113">
        <f t="shared" si="31"/>
        <v>12</v>
      </c>
      <c r="AB38" s="113">
        <f t="shared" si="16"/>
        <v>0</v>
      </c>
    </row>
    <row r="39" spans="1:28" x14ac:dyDescent="0.3">
      <c r="A39" s="116" t="s">
        <v>267</v>
      </c>
      <c r="B39" s="112" t="str">
        <f>'공중 유닛 배치'!C11</f>
        <v>2-3</v>
      </c>
      <c r="C39" s="112">
        <f>'공중 유닛 배치'!D11</f>
        <v>7</v>
      </c>
      <c r="D39" s="113">
        <f t="shared" si="17"/>
        <v>2</v>
      </c>
      <c r="E39" s="112">
        <f>'공중 유닛 배치'!R11</f>
        <v>48</v>
      </c>
      <c r="F39" s="112">
        <f>'공중 유닛 배치'!N11</f>
        <v>0</v>
      </c>
      <c r="G39" s="113">
        <f>ROUND('공중 유닛 설정'!$C$12*(1+'공중 유닛 설정'!$C$13)^(C39-1)*(1+'공중 유닛 설정'!$C$14)^(D39-1),0)</f>
        <v>12</v>
      </c>
      <c r="H39" s="114">
        <f t="shared" si="18"/>
        <v>4</v>
      </c>
      <c r="I39" s="113">
        <f>COUNTIF(설정!$C$34:$C$39,"&lt;="&amp;MAX(1,C39-'공중 유닛 설정'!$C$15))</f>
        <v>3</v>
      </c>
      <c r="J39" s="113">
        <f>MIN(I39,MAX(1,COUNTIF(설정!$B$15:$B$20,"&lt;="&amp;H39)))</f>
        <v>1</v>
      </c>
      <c r="K39" s="113">
        <f t="shared" si="19"/>
        <v>2</v>
      </c>
      <c r="L39" s="113">
        <f>INDEX(설정!$B$15:$B$20,J39)</f>
        <v>1</v>
      </c>
      <c r="M39" s="113">
        <f>INDEX(설정!$B$15:$B$20,K39)</f>
        <v>5</v>
      </c>
      <c r="N39" s="113">
        <f t="shared" si="20"/>
        <v>9</v>
      </c>
      <c r="O39" s="113">
        <f t="shared" si="21"/>
        <v>3</v>
      </c>
      <c r="P39" s="113">
        <f t="shared" si="22"/>
        <v>0</v>
      </c>
      <c r="Q39" s="113">
        <f t="shared" si="23"/>
        <v>0</v>
      </c>
      <c r="R39" s="113">
        <f t="shared" si="24"/>
        <v>0</v>
      </c>
      <c r="S39" s="113">
        <f t="shared" si="25"/>
        <v>0</v>
      </c>
      <c r="T39" s="113">
        <f t="shared" si="26"/>
        <v>9</v>
      </c>
      <c r="U39" s="113">
        <f t="shared" si="27"/>
        <v>3</v>
      </c>
      <c r="V39" s="116">
        <f t="shared" si="28"/>
        <v>12</v>
      </c>
      <c r="W39" s="113">
        <f t="shared" si="29"/>
        <v>48</v>
      </c>
      <c r="X39" s="122">
        <f t="shared" si="30"/>
        <v>0</v>
      </c>
      <c r="Y39" s="113" t="str">
        <f>INDEX(설정!$A$15:$A$20,IF(N39*M39&gt;=O39*L39,K39,J39))</f>
        <v>금괴</v>
      </c>
      <c r="Z39" s="113">
        <f>ROUND(V39*'공중 유닛 설정'!$C$11,0)</f>
        <v>0</v>
      </c>
      <c r="AA39" s="113">
        <f t="shared" si="31"/>
        <v>12</v>
      </c>
      <c r="AB39" s="113">
        <f t="shared" si="16"/>
        <v>0</v>
      </c>
    </row>
    <row r="40" spans="1:28" x14ac:dyDescent="0.3">
      <c r="A40" s="116" t="s">
        <v>267</v>
      </c>
      <c r="B40" s="112" t="str">
        <f>'공중 유닛 배치'!C12</f>
        <v>2-4</v>
      </c>
      <c r="C40" s="112">
        <f>'공중 유닛 배치'!D12</f>
        <v>8</v>
      </c>
      <c r="D40" s="113">
        <f t="shared" si="17"/>
        <v>2</v>
      </c>
      <c r="E40" s="112">
        <f>'공중 유닛 배치'!R12</f>
        <v>61</v>
      </c>
      <c r="F40" s="112">
        <f>'공중 유닛 배치'!N12</f>
        <v>1</v>
      </c>
      <c r="G40" s="113">
        <f>ROUND('공중 유닛 설정'!$C$12*(1+'공중 유닛 설정'!$C$13)^(C40-1)*(1+'공중 유닛 설정'!$C$14)^(D40-1),0)</f>
        <v>12</v>
      </c>
      <c r="H40" s="114">
        <f t="shared" si="18"/>
        <v>5.083333333333333</v>
      </c>
      <c r="I40" s="113">
        <f>COUNTIF(설정!$C$34:$C$39,"&lt;="&amp;MAX(1,C40-'공중 유닛 설정'!$C$15))</f>
        <v>3</v>
      </c>
      <c r="J40" s="113">
        <f>MIN(I40,MAX(1,COUNTIF(설정!$B$15:$B$20,"&lt;="&amp;H40)))</f>
        <v>2</v>
      </c>
      <c r="K40" s="113">
        <f t="shared" si="19"/>
        <v>3</v>
      </c>
      <c r="L40" s="113">
        <f>INDEX(설정!$B$15:$B$20,J40)</f>
        <v>5</v>
      </c>
      <c r="M40" s="113">
        <f>INDEX(설정!$B$15:$B$20,K40)</f>
        <v>25</v>
      </c>
      <c r="N40" s="113">
        <f t="shared" si="20"/>
        <v>0</v>
      </c>
      <c r="O40" s="113">
        <f t="shared" si="21"/>
        <v>12</v>
      </c>
      <c r="P40" s="113">
        <f t="shared" si="22"/>
        <v>0</v>
      </c>
      <c r="Q40" s="113">
        <f t="shared" si="23"/>
        <v>0</v>
      </c>
      <c r="R40" s="113">
        <f t="shared" si="24"/>
        <v>0</v>
      </c>
      <c r="S40" s="113">
        <f t="shared" si="25"/>
        <v>0</v>
      </c>
      <c r="T40" s="113">
        <f t="shared" si="26"/>
        <v>12</v>
      </c>
      <c r="U40" s="113">
        <f t="shared" si="27"/>
        <v>0</v>
      </c>
      <c r="V40" s="116">
        <f t="shared" si="28"/>
        <v>12</v>
      </c>
      <c r="W40" s="113">
        <f t="shared" si="29"/>
        <v>60</v>
      </c>
      <c r="X40" s="122">
        <f t="shared" si="30"/>
        <v>-1.6393442622950838E-2</v>
      </c>
      <c r="Y40" s="113" t="str">
        <f>INDEX(설정!$A$15:$A$20,IF(N40*M40&gt;=O40*L40,K40,J40))</f>
        <v>금괴</v>
      </c>
      <c r="Z40" s="113">
        <f>ROUND(V40*'공중 유닛 설정'!$C$11,0)</f>
        <v>0</v>
      </c>
      <c r="AA40" s="113">
        <f t="shared" si="31"/>
        <v>12</v>
      </c>
      <c r="AB40" s="113">
        <f t="shared" si="16"/>
        <v>0</v>
      </c>
    </row>
    <row r="41" spans="1:28" x14ac:dyDescent="0.3">
      <c r="A41" s="110" t="s">
        <v>267</v>
      </c>
      <c r="B41" s="106" t="str">
        <f>'공중 유닛 배치'!C13</f>
        <v>3-1</v>
      </c>
      <c r="C41" s="106">
        <f>'공중 유닛 배치'!D13</f>
        <v>9</v>
      </c>
      <c r="D41" s="107">
        <f t="shared" si="17"/>
        <v>3</v>
      </c>
      <c r="E41" s="106">
        <f>'공중 유닛 배치'!R13</f>
        <v>74</v>
      </c>
      <c r="F41" s="106">
        <f>'공중 유닛 배치'!N13</f>
        <v>0</v>
      </c>
      <c r="G41" s="107">
        <f>ROUND('공중 유닛 설정'!$C$12*(1+'공중 유닛 설정'!$C$13)^(C41-1)*(1+'공중 유닛 설정'!$C$14)^(D41-1),0)</f>
        <v>13</v>
      </c>
      <c r="H41" s="108">
        <f t="shared" si="18"/>
        <v>5.6923076923076925</v>
      </c>
      <c r="I41" s="107">
        <f>COUNTIF(설정!$C$34:$C$39,"&lt;="&amp;MAX(1,C41-'공중 유닛 설정'!$C$15))</f>
        <v>3</v>
      </c>
      <c r="J41" s="107">
        <f>MIN(I41,MAX(1,COUNTIF(설정!$B$15:$B$20,"&lt;="&amp;H41)))</f>
        <v>2</v>
      </c>
      <c r="K41" s="107">
        <f t="shared" si="19"/>
        <v>3</v>
      </c>
      <c r="L41" s="107">
        <f>INDEX(설정!$B$15:$B$20,J41)</f>
        <v>5</v>
      </c>
      <c r="M41" s="107">
        <f>INDEX(설정!$B$15:$B$20,K41)</f>
        <v>25</v>
      </c>
      <c r="N41" s="107">
        <f t="shared" si="20"/>
        <v>0</v>
      </c>
      <c r="O41" s="107">
        <f t="shared" si="21"/>
        <v>13</v>
      </c>
      <c r="P41" s="107">
        <f t="shared" si="22"/>
        <v>0</v>
      </c>
      <c r="Q41" s="107">
        <f t="shared" si="23"/>
        <v>0</v>
      </c>
      <c r="R41" s="107">
        <f t="shared" si="24"/>
        <v>0</v>
      </c>
      <c r="S41" s="107">
        <f t="shared" si="25"/>
        <v>0</v>
      </c>
      <c r="T41" s="107">
        <f t="shared" si="26"/>
        <v>13</v>
      </c>
      <c r="U41" s="107">
        <f t="shared" si="27"/>
        <v>0</v>
      </c>
      <c r="V41" s="110">
        <f t="shared" si="28"/>
        <v>13</v>
      </c>
      <c r="W41" s="107">
        <f t="shared" si="29"/>
        <v>65</v>
      </c>
      <c r="X41" s="121">
        <f t="shared" si="30"/>
        <v>-0.1216216216216216</v>
      </c>
      <c r="Y41" s="107" t="str">
        <f>INDEX(설정!$A$15:$A$20,IF(N41*M41&gt;=O41*L41,K41,J41))</f>
        <v>금괴</v>
      </c>
      <c r="Z41" s="107">
        <f>ROUND(V41*'공중 유닛 설정'!$C$11,0)</f>
        <v>0</v>
      </c>
      <c r="AA41" s="107">
        <f t="shared" si="31"/>
        <v>13</v>
      </c>
      <c r="AB41" s="107">
        <f t="shared" si="16"/>
        <v>1</v>
      </c>
    </row>
    <row r="42" spans="1:28" x14ac:dyDescent="0.3">
      <c r="A42" s="110" t="s">
        <v>267</v>
      </c>
      <c r="B42" s="106" t="str">
        <f>'공중 유닛 배치'!C14</f>
        <v>3-2</v>
      </c>
      <c r="C42" s="106">
        <f>'공중 유닛 배치'!D14</f>
        <v>10</v>
      </c>
      <c r="D42" s="107">
        <f t="shared" si="17"/>
        <v>3</v>
      </c>
      <c r="E42" s="106">
        <f>'공중 유닛 배치'!R14</f>
        <v>91</v>
      </c>
      <c r="F42" s="106">
        <f>'공중 유닛 배치'!N14</f>
        <v>1</v>
      </c>
      <c r="G42" s="107">
        <f>ROUND('공중 유닛 설정'!$C$12*(1+'공중 유닛 설정'!$C$13)^(C42-1)*(1+'공중 유닛 설정'!$C$14)^(D42-1),0)</f>
        <v>14</v>
      </c>
      <c r="H42" s="108">
        <f t="shared" si="18"/>
        <v>6.5</v>
      </c>
      <c r="I42" s="107">
        <f>COUNTIF(설정!$C$34:$C$39,"&lt;="&amp;MAX(1,C42-'공중 유닛 설정'!$C$15))</f>
        <v>3</v>
      </c>
      <c r="J42" s="107">
        <f>MIN(I42,MAX(1,COUNTIF(설정!$B$15:$B$20,"&lt;="&amp;H42)))</f>
        <v>2</v>
      </c>
      <c r="K42" s="107">
        <f t="shared" si="19"/>
        <v>3</v>
      </c>
      <c r="L42" s="107">
        <f>INDEX(설정!$B$15:$B$20,J42)</f>
        <v>5</v>
      </c>
      <c r="M42" s="107">
        <f>INDEX(설정!$B$15:$B$20,K42)</f>
        <v>25</v>
      </c>
      <c r="N42" s="107">
        <f t="shared" si="20"/>
        <v>1</v>
      </c>
      <c r="O42" s="107">
        <f t="shared" si="21"/>
        <v>13</v>
      </c>
      <c r="P42" s="107">
        <f t="shared" si="22"/>
        <v>0</v>
      </c>
      <c r="Q42" s="107">
        <f t="shared" si="23"/>
        <v>0</v>
      </c>
      <c r="R42" s="107">
        <f t="shared" si="24"/>
        <v>0</v>
      </c>
      <c r="S42" s="107">
        <f t="shared" si="25"/>
        <v>1</v>
      </c>
      <c r="T42" s="107">
        <f t="shared" si="26"/>
        <v>13</v>
      </c>
      <c r="U42" s="107">
        <f t="shared" si="27"/>
        <v>0</v>
      </c>
      <c r="V42" s="110">
        <f t="shared" si="28"/>
        <v>14</v>
      </c>
      <c r="W42" s="107">
        <f t="shared" si="29"/>
        <v>90</v>
      </c>
      <c r="X42" s="121">
        <f t="shared" si="30"/>
        <v>-1.098901098901095E-2</v>
      </c>
      <c r="Y42" s="107" t="str">
        <f>INDEX(설정!$A$15:$A$20,IF(N42*M42&gt;=O42*L42,K42,J42))</f>
        <v>금괴</v>
      </c>
      <c r="Z42" s="107">
        <f>ROUND(V42*'공중 유닛 설정'!$C$11,0)</f>
        <v>0</v>
      </c>
      <c r="AA42" s="107">
        <f t="shared" si="31"/>
        <v>14</v>
      </c>
      <c r="AB42" s="107">
        <f t="shared" si="16"/>
        <v>1</v>
      </c>
    </row>
    <row r="43" spans="1:28" x14ac:dyDescent="0.3">
      <c r="A43" s="110" t="s">
        <v>267</v>
      </c>
      <c r="B43" s="106" t="str">
        <f>'공중 유닛 배치'!C15</f>
        <v>3-3</v>
      </c>
      <c r="C43" s="106">
        <f>'공중 유닛 배치'!D15</f>
        <v>11</v>
      </c>
      <c r="D43" s="107">
        <f t="shared" si="17"/>
        <v>3</v>
      </c>
      <c r="E43" s="106">
        <f>'공중 유닛 배치'!R15</f>
        <v>111</v>
      </c>
      <c r="F43" s="106">
        <f>'공중 유닛 배치'!N15</f>
        <v>0</v>
      </c>
      <c r="G43" s="107">
        <f>ROUND('공중 유닛 설정'!$C$12*(1+'공중 유닛 설정'!$C$13)^(C43-1)*(1+'공중 유닛 설정'!$C$14)^(D43-1),0)</f>
        <v>14</v>
      </c>
      <c r="H43" s="108">
        <f t="shared" si="18"/>
        <v>7.9285714285714288</v>
      </c>
      <c r="I43" s="107">
        <f>COUNTIF(설정!$C$34:$C$39,"&lt;="&amp;MAX(1,C43-'공중 유닛 설정'!$C$15))</f>
        <v>3</v>
      </c>
      <c r="J43" s="107">
        <f>MIN(I43,MAX(1,COUNTIF(설정!$B$15:$B$20,"&lt;="&amp;H43)))</f>
        <v>2</v>
      </c>
      <c r="K43" s="107">
        <f t="shared" si="19"/>
        <v>3</v>
      </c>
      <c r="L43" s="107">
        <f>INDEX(설정!$B$15:$B$20,J43)</f>
        <v>5</v>
      </c>
      <c r="M43" s="107">
        <f>INDEX(설정!$B$15:$B$20,K43)</f>
        <v>25</v>
      </c>
      <c r="N43" s="107">
        <f t="shared" si="20"/>
        <v>2</v>
      </c>
      <c r="O43" s="107">
        <f t="shared" si="21"/>
        <v>12</v>
      </c>
      <c r="P43" s="107">
        <f t="shared" si="22"/>
        <v>0</v>
      </c>
      <c r="Q43" s="107">
        <f t="shared" si="23"/>
        <v>0</v>
      </c>
      <c r="R43" s="107">
        <f t="shared" si="24"/>
        <v>0</v>
      </c>
      <c r="S43" s="107">
        <f t="shared" si="25"/>
        <v>2</v>
      </c>
      <c r="T43" s="107">
        <f t="shared" si="26"/>
        <v>12</v>
      </c>
      <c r="U43" s="107">
        <f t="shared" si="27"/>
        <v>0</v>
      </c>
      <c r="V43" s="110">
        <f t="shared" si="28"/>
        <v>14</v>
      </c>
      <c r="W43" s="107">
        <f t="shared" si="29"/>
        <v>110</v>
      </c>
      <c r="X43" s="121">
        <f t="shared" si="30"/>
        <v>-9.009009009009028E-3</v>
      </c>
      <c r="Y43" s="107" t="str">
        <f>INDEX(설정!$A$15:$A$20,IF(N43*M43&gt;=O43*L43,K43,J43))</f>
        <v>금괴</v>
      </c>
      <c r="Z43" s="107">
        <f>ROUND(V43*'공중 유닛 설정'!$C$11,0)</f>
        <v>0</v>
      </c>
      <c r="AA43" s="107">
        <f t="shared" si="31"/>
        <v>14</v>
      </c>
      <c r="AB43" s="107">
        <f t="shared" si="16"/>
        <v>0</v>
      </c>
    </row>
    <row r="44" spans="1:28" x14ac:dyDescent="0.3">
      <c r="A44" s="110" t="s">
        <v>267</v>
      </c>
      <c r="B44" s="106" t="str">
        <f>'공중 유닛 배치'!C16</f>
        <v>3-4</v>
      </c>
      <c r="C44" s="106">
        <f>'공중 유닛 배치'!D16</f>
        <v>12</v>
      </c>
      <c r="D44" s="107">
        <f t="shared" si="17"/>
        <v>3</v>
      </c>
      <c r="E44" s="106">
        <f>'공중 유닛 배치'!R16</f>
        <v>138</v>
      </c>
      <c r="F44" s="106">
        <f>'공중 유닛 배치'!N16</f>
        <v>1</v>
      </c>
      <c r="G44" s="107">
        <f>ROUND('공중 유닛 설정'!$C$12*(1+'공중 유닛 설정'!$C$13)^(C44-1)*(1+'공중 유닛 설정'!$C$14)^(D44-1),0)</f>
        <v>14</v>
      </c>
      <c r="H44" s="108">
        <f t="shared" si="18"/>
        <v>9.8571428571428577</v>
      </c>
      <c r="I44" s="107">
        <f>COUNTIF(설정!$C$34:$C$39,"&lt;="&amp;MAX(1,C44-'공중 유닛 설정'!$C$15))</f>
        <v>3</v>
      </c>
      <c r="J44" s="107">
        <f>MIN(I44,MAX(1,COUNTIF(설정!$B$15:$B$20,"&lt;="&amp;H44)))</f>
        <v>2</v>
      </c>
      <c r="K44" s="107">
        <f t="shared" si="19"/>
        <v>3</v>
      </c>
      <c r="L44" s="107">
        <f>INDEX(설정!$B$15:$B$20,J44)</f>
        <v>5</v>
      </c>
      <c r="M44" s="107">
        <f>INDEX(설정!$B$15:$B$20,K44)</f>
        <v>25</v>
      </c>
      <c r="N44" s="107">
        <f t="shared" si="20"/>
        <v>3</v>
      </c>
      <c r="O44" s="107">
        <f t="shared" si="21"/>
        <v>11</v>
      </c>
      <c r="P44" s="107">
        <f t="shared" si="22"/>
        <v>0</v>
      </c>
      <c r="Q44" s="107">
        <f t="shared" si="23"/>
        <v>0</v>
      </c>
      <c r="R44" s="107">
        <f t="shared" si="24"/>
        <v>0</v>
      </c>
      <c r="S44" s="107">
        <f t="shared" si="25"/>
        <v>3</v>
      </c>
      <c r="T44" s="107">
        <f t="shared" si="26"/>
        <v>11</v>
      </c>
      <c r="U44" s="107">
        <f t="shared" si="27"/>
        <v>0</v>
      </c>
      <c r="V44" s="110">
        <f t="shared" si="28"/>
        <v>14</v>
      </c>
      <c r="W44" s="107">
        <f t="shared" si="29"/>
        <v>130</v>
      </c>
      <c r="X44" s="121">
        <f t="shared" si="30"/>
        <v>-5.7971014492753659E-2</v>
      </c>
      <c r="Y44" s="107" t="str">
        <f>INDEX(설정!$A$15:$A$20,IF(N44*M44&gt;=O44*L44,K44,J44))</f>
        <v>사파이어</v>
      </c>
      <c r="Z44" s="107">
        <f>ROUND(V44*'공중 유닛 설정'!$C$11,0)</f>
        <v>0</v>
      </c>
      <c r="AA44" s="107">
        <f t="shared" si="31"/>
        <v>14</v>
      </c>
      <c r="AB44" s="107">
        <f t="shared" si="16"/>
        <v>0</v>
      </c>
    </row>
    <row r="45" spans="1:28" x14ac:dyDescent="0.3">
      <c r="A45" s="116" t="s">
        <v>267</v>
      </c>
      <c r="B45" s="112" t="str">
        <f>'공중 유닛 배치'!C17</f>
        <v>4-1</v>
      </c>
      <c r="C45" s="112">
        <f>'공중 유닛 배치'!D17</f>
        <v>13</v>
      </c>
      <c r="D45" s="113">
        <f t="shared" si="17"/>
        <v>4</v>
      </c>
      <c r="E45" s="112">
        <f>'공중 유닛 배치'!R17</f>
        <v>165</v>
      </c>
      <c r="F45" s="112">
        <f>'공중 유닛 배치'!N17</f>
        <v>0</v>
      </c>
      <c r="G45" s="113">
        <f>ROUND('공중 유닛 설정'!$C$12*(1+'공중 유닛 설정'!$C$13)^(C45-1)*(1+'공중 유닛 설정'!$C$14)^(D45-1),0)</f>
        <v>16</v>
      </c>
      <c r="H45" s="114">
        <f t="shared" si="18"/>
        <v>10.3125</v>
      </c>
      <c r="I45" s="113">
        <f>COUNTIF(설정!$C$34:$C$39,"&lt;="&amp;MAX(1,C45-'공중 유닛 설정'!$C$15))</f>
        <v>4</v>
      </c>
      <c r="J45" s="113">
        <f>MIN(I45,MAX(1,COUNTIF(설정!$B$15:$B$20,"&lt;="&amp;H45)))</f>
        <v>2</v>
      </c>
      <c r="K45" s="113">
        <f t="shared" si="19"/>
        <v>3</v>
      </c>
      <c r="L45" s="113">
        <f>INDEX(설정!$B$15:$B$20,J45)</f>
        <v>5</v>
      </c>
      <c r="M45" s="113">
        <f>INDEX(설정!$B$15:$B$20,K45)</f>
        <v>25</v>
      </c>
      <c r="N45" s="113">
        <f t="shared" si="20"/>
        <v>4</v>
      </c>
      <c r="O45" s="113">
        <f t="shared" si="21"/>
        <v>12</v>
      </c>
      <c r="P45" s="113">
        <f t="shared" si="22"/>
        <v>0</v>
      </c>
      <c r="Q45" s="113">
        <f t="shared" si="23"/>
        <v>0</v>
      </c>
      <c r="R45" s="113">
        <f t="shared" si="24"/>
        <v>0</v>
      </c>
      <c r="S45" s="113">
        <f t="shared" si="25"/>
        <v>4</v>
      </c>
      <c r="T45" s="113">
        <f t="shared" si="26"/>
        <v>12</v>
      </c>
      <c r="U45" s="113">
        <f t="shared" si="27"/>
        <v>0</v>
      </c>
      <c r="V45" s="116">
        <f t="shared" si="28"/>
        <v>16</v>
      </c>
      <c r="W45" s="113">
        <f t="shared" si="29"/>
        <v>160</v>
      </c>
      <c r="X45" s="122">
        <f t="shared" si="30"/>
        <v>-3.0303030303030276E-2</v>
      </c>
      <c r="Y45" s="113" t="str">
        <f>INDEX(설정!$A$15:$A$20,IF(N45*M45&gt;=O45*L45,K45,J45))</f>
        <v>사파이어</v>
      </c>
      <c r="Z45" s="113">
        <f>ROUND(V45*'공중 유닛 설정'!$C$11,0)</f>
        <v>0</v>
      </c>
      <c r="AA45" s="113">
        <f t="shared" si="31"/>
        <v>16</v>
      </c>
      <c r="AB45" s="113">
        <f t="shared" si="16"/>
        <v>2</v>
      </c>
    </row>
    <row r="46" spans="1:28" x14ac:dyDescent="0.3">
      <c r="A46" s="116" t="s">
        <v>267</v>
      </c>
      <c r="B46" s="112" t="str">
        <f>'공중 유닛 배치'!C18</f>
        <v>4-2</v>
      </c>
      <c r="C46" s="112">
        <f>'공중 유닛 배치'!D18</f>
        <v>14</v>
      </c>
      <c r="D46" s="113">
        <f t="shared" si="17"/>
        <v>4</v>
      </c>
      <c r="E46" s="112">
        <f>'공중 유닛 배치'!R18</f>
        <v>206</v>
      </c>
      <c r="F46" s="112">
        <f>'공중 유닛 배치'!N18</f>
        <v>1</v>
      </c>
      <c r="G46" s="113">
        <f>ROUND('공중 유닛 설정'!$C$12*(1+'공중 유닛 설정'!$C$13)^(C46-1)*(1+'공중 유닛 설정'!$C$14)^(D46-1),0)</f>
        <v>16</v>
      </c>
      <c r="H46" s="114">
        <f t="shared" si="18"/>
        <v>12.875</v>
      </c>
      <c r="I46" s="113">
        <f>COUNTIF(설정!$C$34:$C$39,"&lt;="&amp;MAX(1,C46-'공중 유닛 설정'!$C$15))</f>
        <v>4</v>
      </c>
      <c r="J46" s="113">
        <f>MIN(I46,MAX(1,COUNTIF(설정!$B$15:$B$20,"&lt;="&amp;H46)))</f>
        <v>2</v>
      </c>
      <c r="K46" s="113">
        <f t="shared" si="19"/>
        <v>3</v>
      </c>
      <c r="L46" s="113">
        <f>INDEX(설정!$B$15:$B$20,J46)</f>
        <v>5</v>
      </c>
      <c r="M46" s="113">
        <f>INDEX(설정!$B$15:$B$20,K46)</f>
        <v>25</v>
      </c>
      <c r="N46" s="113">
        <f t="shared" si="20"/>
        <v>6</v>
      </c>
      <c r="O46" s="113">
        <f t="shared" si="21"/>
        <v>10</v>
      </c>
      <c r="P46" s="113">
        <f t="shared" si="22"/>
        <v>0</v>
      </c>
      <c r="Q46" s="113">
        <f t="shared" si="23"/>
        <v>0</v>
      </c>
      <c r="R46" s="113">
        <f t="shared" si="24"/>
        <v>0</v>
      </c>
      <c r="S46" s="113">
        <f t="shared" si="25"/>
        <v>6</v>
      </c>
      <c r="T46" s="113">
        <f t="shared" si="26"/>
        <v>10</v>
      </c>
      <c r="U46" s="113">
        <f t="shared" si="27"/>
        <v>0</v>
      </c>
      <c r="V46" s="116">
        <f t="shared" si="28"/>
        <v>16</v>
      </c>
      <c r="W46" s="113">
        <f t="shared" si="29"/>
        <v>200</v>
      </c>
      <c r="X46" s="122">
        <f t="shared" si="30"/>
        <v>-2.9126213592232997E-2</v>
      </c>
      <c r="Y46" s="113" t="str">
        <f>INDEX(설정!$A$15:$A$20,IF(N46*M46&gt;=O46*L46,K46,J46))</f>
        <v>사파이어</v>
      </c>
      <c r="Z46" s="113">
        <f>ROUND(V46*'공중 유닛 설정'!$C$11,0)</f>
        <v>0</v>
      </c>
      <c r="AA46" s="113">
        <f t="shared" si="31"/>
        <v>16</v>
      </c>
      <c r="AB46" s="113">
        <f t="shared" si="16"/>
        <v>0</v>
      </c>
    </row>
    <row r="47" spans="1:28" x14ac:dyDescent="0.3">
      <c r="A47" s="116" t="s">
        <v>267</v>
      </c>
      <c r="B47" s="112" t="str">
        <f>'공중 유닛 배치'!C19</f>
        <v>4-3</v>
      </c>
      <c r="C47" s="112">
        <f>'공중 유닛 배치'!D19</f>
        <v>15</v>
      </c>
      <c r="D47" s="113">
        <f t="shared" si="17"/>
        <v>4</v>
      </c>
      <c r="E47" s="112">
        <f>'공중 유닛 배치'!R19</f>
        <v>248</v>
      </c>
      <c r="F47" s="112">
        <f>'공중 유닛 배치'!N19</f>
        <v>0</v>
      </c>
      <c r="G47" s="113">
        <f>ROUND('공중 유닛 설정'!$C$12*(1+'공중 유닛 설정'!$C$13)^(C47-1)*(1+'공중 유닛 설정'!$C$14)^(D47-1),0)</f>
        <v>16</v>
      </c>
      <c r="H47" s="114">
        <f t="shared" si="18"/>
        <v>15.5</v>
      </c>
      <c r="I47" s="113">
        <f>COUNTIF(설정!$C$34:$C$39,"&lt;="&amp;MAX(1,C47-'공중 유닛 설정'!$C$15))</f>
        <v>4</v>
      </c>
      <c r="J47" s="113">
        <f>MIN(I47,MAX(1,COUNTIF(설정!$B$15:$B$20,"&lt;="&amp;H47)))</f>
        <v>2</v>
      </c>
      <c r="K47" s="113">
        <f t="shared" si="19"/>
        <v>3</v>
      </c>
      <c r="L47" s="113">
        <f>INDEX(설정!$B$15:$B$20,J47)</f>
        <v>5</v>
      </c>
      <c r="M47" s="113">
        <f>INDEX(설정!$B$15:$B$20,K47)</f>
        <v>25</v>
      </c>
      <c r="N47" s="113">
        <f t="shared" si="20"/>
        <v>8</v>
      </c>
      <c r="O47" s="113">
        <f t="shared" si="21"/>
        <v>8</v>
      </c>
      <c r="P47" s="113">
        <f t="shared" si="22"/>
        <v>0</v>
      </c>
      <c r="Q47" s="113">
        <f t="shared" si="23"/>
        <v>0</v>
      </c>
      <c r="R47" s="113">
        <f t="shared" si="24"/>
        <v>0</v>
      </c>
      <c r="S47" s="113">
        <f t="shared" si="25"/>
        <v>8</v>
      </c>
      <c r="T47" s="113">
        <f t="shared" si="26"/>
        <v>8</v>
      </c>
      <c r="U47" s="113">
        <f t="shared" si="27"/>
        <v>0</v>
      </c>
      <c r="V47" s="116">
        <f t="shared" si="28"/>
        <v>16</v>
      </c>
      <c r="W47" s="113">
        <f t="shared" si="29"/>
        <v>240</v>
      </c>
      <c r="X47" s="122">
        <f t="shared" si="30"/>
        <v>-3.2258064516129004E-2</v>
      </c>
      <c r="Y47" s="113" t="str">
        <f>INDEX(설정!$A$15:$A$20,IF(N47*M47&gt;=O47*L47,K47,J47))</f>
        <v>사파이어</v>
      </c>
      <c r="Z47" s="113">
        <f>ROUND(V47*'공중 유닛 설정'!$C$11,0)</f>
        <v>0</v>
      </c>
      <c r="AA47" s="113">
        <f t="shared" si="31"/>
        <v>16</v>
      </c>
      <c r="AB47" s="113">
        <f t="shared" si="16"/>
        <v>0</v>
      </c>
    </row>
    <row r="48" spans="1:28" x14ac:dyDescent="0.3">
      <c r="A48" s="116" t="s">
        <v>267</v>
      </c>
      <c r="B48" s="112" t="str">
        <f>'공중 유닛 배치'!C20</f>
        <v>4-4</v>
      </c>
      <c r="C48" s="112">
        <f>'공중 유닛 배치'!D20</f>
        <v>16</v>
      </c>
      <c r="D48" s="113">
        <f t="shared" si="17"/>
        <v>4</v>
      </c>
      <c r="E48" s="112">
        <f>'공중 유닛 배치'!R20</f>
        <v>309</v>
      </c>
      <c r="F48" s="112">
        <f>'공중 유닛 배치'!N20</f>
        <v>1</v>
      </c>
      <c r="G48" s="113">
        <f>ROUND('공중 유닛 설정'!$C$12*(1+'공중 유닛 설정'!$C$13)^(C48-1)*(1+'공중 유닛 설정'!$C$14)^(D48-1),0)</f>
        <v>16</v>
      </c>
      <c r="H48" s="114">
        <f t="shared" si="18"/>
        <v>19.3125</v>
      </c>
      <c r="I48" s="113">
        <f>COUNTIF(설정!$C$34:$C$39,"&lt;="&amp;MAX(1,C48-'공중 유닛 설정'!$C$15))</f>
        <v>4</v>
      </c>
      <c r="J48" s="113">
        <f>MIN(I48,MAX(1,COUNTIF(설정!$B$15:$B$20,"&lt;="&amp;H48)))</f>
        <v>2</v>
      </c>
      <c r="K48" s="113">
        <f t="shared" si="19"/>
        <v>3</v>
      </c>
      <c r="L48" s="113">
        <f>INDEX(설정!$B$15:$B$20,J48)</f>
        <v>5</v>
      </c>
      <c r="M48" s="113">
        <f>INDEX(설정!$B$15:$B$20,K48)</f>
        <v>25</v>
      </c>
      <c r="N48" s="113">
        <f t="shared" si="20"/>
        <v>11</v>
      </c>
      <c r="O48" s="113">
        <f t="shared" si="21"/>
        <v>5</v>
      </c>
      <c r="P48" s="113">
        <f t="shared" si="22"/>
        <v>0</v>
      </c>
      <c r="Q48" s="113">
        <f t="shared" si="23"/>
        <v>0</v>
      </c>
      <c r="R48" s="113">
        <f t="shared" si="24"/>
        <v>0</v>
      </c>
      <c r="S48" s="113">
        <f t="shared" si="25"/>
        <v>11</v>
      </c>
      <c r="T48" s="113">
        <f t="shared" si="26"/>
        <v>5</v>
      </c>
      <c r="U48" s="113">
        <f t="shared" si="27"/>
        <v>0</v>
      </c>
      <c r="V48" s="116">
        <f t="shared" si="28"/>
        <v>16</v>
      </c>
      <c r="W48" s="113">
        <f t="shared" si="29"/>
        <v>300</v>
      </c>
      <c r="X48" s="122">
        <f t="shared" si="30"/>
        <v>-2.9126213592232997E-2</v>
      </c>
      <c r="Y48" s="113" t="str">
        <f>INDEX(설정!$A$15:$A$20,IF(N48*M48&gt;=O48*L48,K48,J48))</f>
        <v>사파이어</v>
      </c>
      <c r="Z48" s="113">
        <f>ROUND(V48*'공중 유닛 설정'!$C$11,0)</f>
        <v>0</v>
      </c>
      <c r="AA48" s="113">
        <f t="shared" si="31"/>
        <v>16</v>
      </c>
      <c r="AB48" s="113">
        <f t="shared" si="16"/>
        <v>0</v>
      </c>
    </row>
    <row r="49" spans="1:28" x14ac:dyDescent="0.3">
      <c r="A49" s="110" t="s">
        <v>267</v>
      </c>
      <c r="B49" s="106" t="str">
        <f>'공중 유닛 배치'!C21</f>
        <v>5-1</v>
      </c>
      <c r="C49" s="106">
        <f>'공중 유닛 배치'!D21</f>
        <v>17</v>
      </c>
      <c r="D49" s="107">
        <f t="shared" si="17"/>
        <v>5</v>
      </c>
      <c r="E49" s="106">
        <f>'공중 유닛 배치'!R21</f>
        <v>371</v>
      </c>
      <c r="F49" s="106">
        <f>'공중 유닛 배치'!N21</f>
        <v>0</v>
      </c>
      <c r="G49" s="107">
        <f>ROUND('공중 유닛 설정'!$C$12*(1+'공중 유닛 설정'!$C$13)^(C49-1)*(1+'공중 유닛 설정'!$C$14)^(D49-1),0)</f>
        <v>18</v>
      </c>
      <c r="H49" s="108">
        <f t="shared" si="18"/>
        <v>20.611111111111111</v>
      </c>
      <c r="I49" s="107">
        <f>COUNTIF(설정!$C$34:$C$39,"&lt;="&amp;MAX(1,C49-'공중 유닛 설정'!$C$15))</f>
        <v>4</v>
      </c>
      <c r="J49" s="107">
        <f>MIN(I49,MAX(1,COUNTIF(설정!$B$15:$B$20,"&lt;="&amp;H49)))</f>
        <v>2</v>
      </c>
      <c r="K49" s="107">
        <f t="shared" si="19"/>
        <v>3</v>
      </c>
      <c r="L49" s="107">
        <f>INDEX(설정!$B$15:$B$20,J49)</f>
        <v>5</v>
      </c>
      <c r="M49" s="107">
        <f>INDEX(설정!$B$15:$B$20,K49)</f>
        <v>25</v>
      </c>
      <c r="N49" s="107">
        <f t="shared" si="20"/>
        <v>14</v>
      </c>
      <c r="O49" s="107">
        <f t="shared" si="21"/>
        <v>4</v>
      </c>
      <c r="P49" s="107">
        <f t="shared" si="22"/>
        <v>0</v>
      </c>
      <c r="Q49" s="107">
        <f t="shared" si="23"/>
        <v>0</v>
      </c>
      <c r="R49" s="107">
        <f t="shared" si="24"/>
        <v>0</v>
      </c>
      <c r="S49" s="107">
        <f t="shared" si="25"/>
        <v>14</v>
      </c>
      <c r="T49" s="107">
        <f t="shared" si="26"/>
        <v>4</v>
      </c>
      <c r="U49" s="107">
        <f t="shared" si="27"/>
        <v>0</v>
      </c>
      <c r="V49" s="110">
        <f t="shared" si="28"/>
        <v>18</v>
      </c>
      <c r="W49" s="107">
        <f t="shared" si="29"/>
        <v>370</v>
      </c>
      <c r="X49" s="121">
        <f t="shared" si="30"/>
        <v>-2.6954177897574594E-3</v>
      </c>
      <c r="Y49" s="107" t="str">
        <f>INDEX(설정!$A$15:$A$20,IF(N49*M49&gt;=O49*L49,K49,J49))</f>
        <v>사파이어</v>
      </c>
      <c r="Z49" s="107">
        <f>ROUND(V49*'공중 유닛 설정'!$C$11,0)</f>
        <v>0</v>
      </c>
      <c r="AA49" s="107">
        <f t="shared" si="31"/>
        <v>18</v>
      </c>
      <c r="AB49" s="107">
        <f t="shared" si="16"/>
        <v>2</v>
      </c>
    </row>
    <row r="50" spans="1:28" x14ac:dyDescent="0.3">
      <c r="A50" s="110" t="s">
        <v>267</v>
      </c>
      <c r="B50" s="106" t="str">
        <f>'공중 유닛 배치'!C22</f>
        <v>5-2</v>
      </c>
      <c r="C50" s="106">
        <f>'공중 유닛 배치'!D22</f>
        <v>18</v>
      </c>
      <c r="D50" s="107">
        <f t="shared" si="17"/>
        <v>5</v>
      </c>
      <c r="E50" s="106">
        <f>'공중 유닛 배치'!R22</f>
        <v>467</v>
      </c>
      <c r="F50" s="106">
        <f>'공중 유닛 배치'!N22</f>
        <v>1</v>
      </c>
      <c r="G50" s="107">
        <f>ROUND('공중 유닛 설정'!$C$12*(1+'공중 유닛 설정'!$C$13)^(C50-1)*(1+'공중 유닛 설정'!$C$14)^(D50-1),0)</f>
        <v>18</v>
      </c>
      <c r="H50" s="108">
        <f t="shared" si="18"/>
        <v>25.944444444444443</v>
      </c>
      <c r="I50" s="107">
        <f>COUNTIF(설정!$C$34:$C$39,"&lt;="&amp;MAX(1,C50-'공중 유닛 설정'!$C$15))</f>
        <v>4</v>
      </c>
      <c r="J50" s="107">
        <f>MIN(I50,MAX(1,COUNTIF(설정!$B$15:$B$20,"&lt;="&amp;H50)))</f>
        <v>3</v>
      </c>
      <c r="K50" s="107">
        <f t="shared" si="19"/>
        <v>4</v>
      </c>
      <c r="L50" s="107">
        <f>INDEX(설정!$B$15:$B$20,J50)</f>
        <v>25</v>
      </c>
      <c r="M50" s="107">
        <f>INDEX(설정!$B$15:$B$20,K50)</f>
        <v>100</v>
      </c>
      <c r="N50" s="107">
        <f t="shared" si="20"/>
        <v>0</v>
      </c>
      <c r="O50" s="107">
        <f t="shared" si="21"/>
        <v>18</v>
      </c>
      <c r="P50" s="107">
        <f t="shared" si="22"/>
        <v>0</v>
      </c>
      <c r="Q50" s="107">
        <f t="shared" si="23"/>
        <v>0</v>
      </c>
      <c r="R50" s="107">
        <f t="shared" si="24"/>
        <v>0</v>
      </c>
      <c r="S50" s="107">
        <f t="shared" si="25"/>
        <v>18</v>
      </c>
      <c r="T50" s="107">
        <f t="shared" si="26"/>
        <v>0</v>
      </c>
      <c r="U50" s="107">
        <f t="shared" si="27"/>
        <v>0</v>
      </c>
      <c r="V50" s="110">
        <f t="shared" si="28"/>
        <v>18</v>
      </c>
      <c r="W50" s="107">
        <f t="shared" si="29"/>
        <v>450</v>
      </c>
      <c r="X50" s="121">
        <f t="shared" si="30"/>
        <v>-3.6402569593147804E-2</v>
      </c>
      <c r="Y50" s="107" t="str">
        <f>INDEX(설정!$A$15:$A$20,IF(N50*M50&gt;=O50*L50,K50,J50))</f>
        <v>사파이어</v>
      </c>
      <c r="Z50" s="107">
        <f>ROUND(V50*'공중 유닛 설정'!$C$11,0)</f>
        <v>0</v>
      </c>
      <c r="AA50" s="107">
        <f t="shared" si="31"/>
        <v>18</v>
      </c>
      <c r="AB50" s="107">
        <f t="shared" si="16"/>
        <v>0</v>
      </c>
    </row>
    <row r="51" spans="1:28" x14ac:dyDescent="0.3">
      <c r="A51" s="110" t="s">
        <v>267</v>
      </c>
      <c r="B51" s="106" t="str">
        <f>'공중 유닛 배치'!C23</f>
        <v>5-3</v>
      </c>
      <c r="C51" s="106">
        <f>'공중 유닛 배치'!D23</f>
        <v>19</v>
      </c>
      <c r="D51" s="107">
        <f t="shared" si="17"/>
        <v>5</v>
      </c>
      <c r="E51" s="106">
        <f>'공중 유닛 배치'!R23</f>
        <v>564</v>
      </c>
      <c r="F51" s="106">
        <f>'공중 유닛 배치'!N23</f>
        <v>0</v>
      </c>
      <c r="G51" s="107">
        <f>ROUND('공중 유닛 설정'!$C$12*(1+'공중 유닛 설정'!$C$13)^(C51-1)*(1+'공중 유닛 설정'!$C$14)^(D51-1),0)</f>
        <v>19</v>
      </c>
      <c r="H51" s="108">
        <f t="shared" si="18"/>
        <v>29.684210526315791</v>
      </c>
      <c r="I51" s="107">
        <f>COUNTIF(설정!$C$34:$C$39,"&lt;="&amp;MAX(1,C51-'공중 유닛 설정'!$C$15))</f>
        <v>4</v>
      </c>
      <c r="J51" s="107">
        <f>MIN(I51,MAX(1,COUNTIF(설정!$B$15:$B$20,"&lt;="&amp;H51)))</f>
        <v>3</v>
      </c>
      <c r="K51" s="107">
        <f t="shared" si="19"/>
        <v>4</v>
      </c>
      <c r="L51" s="107">
        <f>INDEX(설정!$B$15:$B$20,J51)</f>
        <v>25</v>
      </c>
      <c r="M51" s="107">
        <f>INDEX(설정!$B$15:$B$20,K51)</f>
        <v>100</v>
      </c>
      <c r="N51" s="107">
        <f t="shared" si="20"/>
        <v>1</v>
      </c>
      <c r="O51" s="107">
        <f t="shared" si="21"/>
        <v>18</v>
      </c>
      <c r="P51" s="107">
        <f t="shared" si="22"/>
        <v>0</v>
      </c>
      <c r="Q51" s="107">
        <f t="shared" si="23"/>
        <v>0</v>
      </c>
      <c r="R51" s="107">
        <f t="shared" si="24"/>
        <v>1</v>
      </c>
      <c r="S51" s="107">
        <f t="shared" si="25"/>
        <v>18</v>
      </c>
      <c r="T51" s="107">
        <f t="shared" si="26"/>
        <v>0</v>
      </c>
      <c r="U51" s="107">
        <f t="shared" si="27"/>
        <v>0</v>
      </c>
      <c r="V51" s="110">
        <f t="shared" si="28"/>
        <v>19</v>
      </c>
      <c r="W51" s="107">
        <f t="shared" si="29"/>
        <v>550</v>
      </c>
      <c r="X51" s="121">
        <f t="shared" si="30"/>
        <v>-2.4822695035460973E-2</v>
      </c>
      <c r="Y51" s="107" t="str">
        <f>INDEX(설정!$A$15:$A$20,IF(N51*M51&gt;=O51*L51,K51,J51))</f>
        <v>사파이어</v>
      </c>
      <c r="Z51" s="107">
        <f>ROUND(V51*'공중 유닛 설정'!$C$11,0)</f>
        <v>0</v>
      </c>
      <c r="AA51" s="107">
        <f t="shared" si="31"/>
        <v>19</v>
      </c>
      <c r="AB51" s="107">
        <f t="shared" si="16"/>
        <v>1</v>
      </c>
    </row>
    <row r="52" spans="1:28" x14ac:dyDescent="0.3">
      <c r="A52" s="110" t="s">
        <v>267</v>
      </c>
      <c r="B52" s="106" t="str">
        <f>'공중 유닛 배치'!C24</f>
        <v>5-4</v>
      </c>
      <c r="C52" s="106">
        <f>'공중 유닛 배치'!D24</f>
        <v>20</v>
      </c>
      <c r="D52" s="107">
        <f t="shared" si="17"/>
        <v>5</v>
      </c>
      <c r="E52" s="106">
        <f>'공중 유닛 배치'!R24</f>
        <v>702</v>
      </c>
      <c r="F52" s="106">
        <f>'공중 유닛 배치'!N24</f>
        <v>1</v>
      </c>
      <c r="G52" s="107">
        <f>ROUND('공중 유닛 설정'!$C$12*(1+'공중 유닛 설정'!$C$13)^(C52-1)*(1+'공중 유닛 설정'!$C$14)^(D52-1),0)</f>
        <v>19</v>
      </c>
      <c r="H52" s="108">
        <f t="shared" si="18"/>
        <v>36.94736842105263</v>
      </c>
      <c r="I52" s="107">
        <f>COUNTIF(설정!$C$34:$C$39,"&lt;="&amp;MAX(1,C52-'공중 유닛 설정'!$C$15))</f>
        <v>4</v>
      </c>
      <c r="J52" s="107">
        <f>MIN(I52,MAX(1,COUNTIF(설정!$B$15:$B$20,"&lt;="&amp;H52)))</f>
        <v>3</v>
      </c>
      <c r="K52" s="107">
        <f t="shared" si="19"/>
        <v>4</v>
      </c>
      <c r="L52" s="107">
        <f>INDEX(설정!$B$15:$B$20,J52)</f>
        <v>25</v>
      </c>
      <c r="M52" s="107">
        <f>INDEX(설정!$B$15:$B$20,K52)</f>
        <v>100</v>
      </c>
      <c r="N52" s="107">
        <f t="shared" si="20"/>
        <v>3</v>
      </c>
      <c r="O52" s="107">
        <f t="shared" si="21"/>
        <v>16</v>
      </c>
      <c r="P52" s="107">
        <f t="shared" si="22"/>
        <v>0</v>
      </c>
      <c r="Q52" s="107">
        <f t="shared" si="23"/>
        <v>0</v>
      </c>
      <c r="R52" s="107">
        <f t="shared" si="24"/>
        <v>3</v>
      </c>
      <c r="S52" s="107">
        <f t="shared" si="25"/>
        <v>16</v>
      </c>
      <c r="T52" s="107">
        <f t="shared" si="26"/>
        <v>0</v>
      </c>
      <c r="U52" s="107">
        <f t="shared" si="27"/>
        <v>0</v>
      </c>
      <c r="V52" s="110">
        <f t="shared" si="28"/>
        <v>19</v>
      </c>
      <c r="W52" s="107">
        <f t="shared" si="29"/>
        <v>700</v>
      </c>
      <c r="X52" s="121">
        <f t="shared" si="30"/>
        <v>-2.8490028490028019E-3</v>
      </c>
      <c r="Y52" s="107" t="str">
        <f>INDEX(설정!$A$15:$A$20,IF(N52*M52&gt;=O52*L52,K52,J52))</f>
        <v>사파이어</v>
      </c>
      <c r="Z52" s="107">
        <f>ROUND(V52*'공중 유닛 설정'!$C$11,0)</f>
        <v>0</v>
      </c>
      <c r="AA52" s="107">
        <f t="shared" si="31"/>
        <v>19</v>
      </c>
      <c r="AB52" s="107">
        <f t="shared" si="16"/>
        <v>0</v>
      </c>
    </row>
    <row r="53" spans="1:28" x14ac:dyDescent="0.3">
      <c r="A53" s="116" t="s">
        <v>267</v>
      </c>
      <c r="B53" s="112" t="str">
        <f>'공중 유닛 배치'!C25</f>
        <v>6-1</v>
      </c>
      <c r="C53" s="112">
        <f>'공중 유닛 배치'!D25</f>
        <v>21</v>
      </c>
      <c r="D53" s="113">
        <f t="shared" si="17"/>
        <v>6</v>
      </c>
      <c r="E53" s="112">
        <f>'공중 유닛 배치'!R25</f>
        <v>852</v>
      </c>
      <c r="F53" s="112">
        <f>'공중 유닛 배치'!N25</f>
        <v>0</v>
      </c>
      <c r="G53" s="113">
        <f>ROUND('공중 유닛 설정'!$C$12*(1+'공중 유닛 설정'!$C$13)^(C53-1)*(1+'공중 유닛 설정'!$C$14)^(D53-1),0)</f>
        <v>21</v>
      </c>
      <c r="H53" s="114">
        <f t="shared" si="18"/>
        <v>40.571428571428569</v>
      </c>
      <c r="I53" s="113">
        <f>COUNTIF(설정!$C$34:$C$39,"&lt;="&amp;MAX(1,C53-'공중 유닛 설정'!$C$15))</f>
        <v>5</v>
      </c>
      <c r="J53" s="113">
        <f>MIN(I53,MAX(1,COUNTIF(설정!$B$15:$B$20,"&lt;="&amp;H53)))</f>
        <v>3</v>
      </c>
      <c r="K53" s="113">
        <f t="shared" si="19"/>
        <v>4</v>
      </c>
      <c r="L53" s="113">
        <f>INDEX(설정!$B$15:$B$20,J53)</f>
        <v>25</v>
      </c>
      <c r="M53" s="113">
        <f>INDEX(설정!$B$15:$B$20,K53)</f>
        <v>100</v>
      </c>
      <c r="N53" s="113">
        <f t="shared" si="20"/>
        <v>4</v>
      </c>
      <c r="O53" s="113">
        <f t="shared" si="21"/>
        <v>17</v>
      </c>
      <c r="P53" s="113">
        <f t="shared" si="22"/>
        <v>0</v>
      </c>
      <c r="Q53" s="113">
        <f t="shared" si="23"/>
        <v>0</v>
      </c>
      <c r="R53" s="113">
        <f t="shared" si="24"/>
        <v>4</v>
      </c>
      <c r="S53" s="113">
        <f t="shared" si="25"/>
        <v>17</v>
      </c>
      <c r="T53" s="113">
        <f t="shared" si="26"/>
        <v>0</v>
      </c>
      <c r="U53" s="113">
        <f t="shared" si="27"/>
        <v>0</v>
      </c>
      <c r="V53" s="116">
        <f t="shared" si="28"/>
        <v>21</v>
      </c>
      <c r="W53" s="113">
        <f t="shared" si="29"/>
        <v>825</v>
      </c>
      <c r="X53" s="122">
        <f t="shared" si="30"/>
        <v>-3.169014084507038E-2</v>
      </c>
      <c r="Y53" s="113" t="str">
        <f>INDEX(설정!$A$15:$A$20,IF(N53*M53&gt;=O53*L53,K53,J53))</f>
        <v>사파이어</v>
      </c>
      <c r="Z53" s="113">
        <f>ROUND(V53*'공중 유닛 설정'!$C$11,0)</f>
        <v>0</v>
      </c>
      <c r="AA53" s="113">
        <f t="shared" si="31"/>
        <v>21</v>
      </c>
      <c r="AB53" s="113">
        <f t="shared" si="16"/>
        <v>2</v>
      </c>
    </row>
    <row r="54" spans="1:28" x14ac:dyDescent="0.3">
      <c r="A54" s="116" t="s">
        <v>267</v>
      </c>
      <c r="B54" s="112" t="str">
        <f>'공중 유닛 배치'!C26</f>
        <v>6-2</v>
      </c>
      <c r="C54" s="112">
        <f>'공중 유닛 배치'!D26</f>
        <v>22</v>
      </c>
      <c r="D54" s="113">
        <f t="shared" si="17"/>
        <v>6</v>
      </c>
      <c r="E54" s="112">
        <f>'공중 유닛 배치'!R26</f>
        <v>1059</v>
      </c>
      <c r="F54" s="112">
        <f>'공중 유닛 배치'!N26</f>
        <v>1</v>
      </c>
      <c r="G54" s="113">
        <f>ROUND('공중 유닛 설정'!$C$12*(1+'공중 유닛 설정'!$C$13)^(C54-1)*(1+'공중 유닛 설정'!$C$14)^(D54-1),0)</f>
        <v>21</v>
      </c>
      <c r="H54" s="114">
        <f t="shared" si="18"/>
        <v>50.428571428571431</v>
      </c>
      <c r="I54" s="113">
        <f>COUNTIF(설정!$C$34:$C$39,"&lt;="&amp;MAX(1,C54-'공중 유닛 설정'!$C$15))</f>
        <v>5</v>
      </c>
      <c r="J54" s="113">
        <f>MIN(I54,MAX(1,COUNTIF(설정!$B$15:$B$20,"&lt;="&amp;H54)))</f>
        <v>3</v>
      </c>
      <c r="K54" s="113">
        <f t="shared" si="19"/>
        <v>4</v>
      </c>
      <c r="L54" s="113">
        <f>INDEX(설정!$B$15:$B$20,J54)</f>
        <v>25</v>
      </c>
      <c r="M54" s="113">
        <f>INDEX(설정!$B$15:$B$20,K54)</f>
        <v>100</v>
      </c>
      <c r="N54" s="113">
        <f t="shared" si="20"/>
        <v>7</v>
      </c>
      <c r="O54" s="113">
        <f t="shared" si="21"/>
        <v>14</v>
      </c>
      <c r="P54" s="113">
        <f t="shared" si="22"/>
        <v>0</v>
      </c>
      <c r="Q54" s="113">
        <f t="shared" si="23"/>
        <v>0</v>
      </c>
      <c r="R54" s="113">
        <f t="shared" si="24"/>
        <v>7</v>
      </c>
      <c r="S54" s="113">
        <f t="shared" si="25"/>
        <v>14</v>
      </c>
      <c r="T54" s="113">
        <f t="shared" si="26"/>
        <v>0</v>
      </c>
      <c r="U54" s="113">
        <f t="shared" si="27"/>
        <v>0</v>
      </c>
      <c r="V54" s="116">
        <f t="shared" si="28"/>
        <v>21</v>
      </c>
      <c r="W54" s="113">
        <f t="shared" si="29"/>
        <v>1050</v>
      </c>
      <c r="X54" s="122">
        <f t="shared" si="30"/>
        <v>-8.4985835694051381E-3</v>
      </c>
      <c r="Y54" s="113" t="str">
        <f>INDEX(설정!$A$15:$A$20,IF(N54*M54&gt;=O54*L54,K54,J54))</f>
        <v>루비</v>
      </c>
      <c r="Z54" s="113">
        <f>ROUND(V54*'공중 유닛 설정'!$C$11,0)</f>
        <v>0</v>
      </c>
      <c r="AA54" s="113">
        <f t="shared" si="31"/>
        <v>21</v>
      </c>
      <c r="AB54" s="113">
        <f t="shared" si="16"/>
        <v>0</v>
      </c>
    </row>
    <row r="55" spans="1:28" x14ac:dyDescent="0.3">
      <c r="A55" s="116" t="s">
        <v>267</v>
      </c>
      <c r="B55" s="112" t="str">
        <f>'공중 유닛 배치'!C27</f>
        <v>6-3</v>
      </c>
      <c r="C55" s="112">
        <f>'공중 유닛 배치'!D27</f>
        <v>23</v>
      </c>
      <c r="D55" s="113">
        <f t="shared" si="17"/>
        <v>6</v>
      </c>
      <c r="E55" s="112">
        <f>'공중 유닛 배치'!R27</f>
        <v>1279</v>
      </c>
      <c r="F55" s="112">
        <f>'공중 유닛 배치'!N27</f>
        <v>0</v>
      </c>
      <c r="G55" s="113">
        <f>ROUND('공중 유닛 설정'!$C$12*(1+'공중 유닛 설정'!$C$13)^(C55-1)*(1+'공중 유닛 설정'!$C$14)^(D55-1),0)</f>
        <v>22</v>
      </c>
      <c r="H55" s="114">
        <f t="shared" si="18"/>
        <v>58.136363636363633</v>
      </c>
      <c r="I55" s="113">
        <f>COUNTIF(설정!$C$34:$C$39,"&lt;="&amp;MAX(1,C55-'공중 유닛 설정'!$C$15))</f>
        <v>5</v>
      </c>
      <c r="J55" s="113">
        <f>MIN(I55,MAX(1,COUNTIF(설정!$B$15:$B$20,"&lt;="&amp;H55)))</f>
        <v>3</v>
      </c>
      <c r="K55" s="113">
        <f t="shared" si="19"/>
        <v>4</v>
      </c>
      <c r="L55" s="113">
        <f>INDEX(설정!$B$15:$B$20,J55)</f>
        <v>25</v>
      </c>
      <c r="M55" s="113">
        <f>INDEX(설정!$B$15:$B$20,K55)</f>
        <v>100</v>
      </c>
      <c r="N55" s="113">
        <f t="shared" si="20"/>
        <v>10</v>
      </c>
      <c r="O55" s="113">
        <f t="shared" si="21"/>
        <v>12</v>
      </c>
      <c r="P55" s="113">
        <f t="shared" si="22"/>
        <v>0</v>
      </c>
      <c r="Q55" s="113">
        <f t="shared" si="23"/>
        <v>0</v>
      </c>
      <c r="R55" s="113">
        <f t="shared" si="24"/>
        <v>10</v>
      </c>
      <c r="S55" s="113">
        <f t="shared" si="25"/>
        <v>12</v>
      </c>
      <c r="T55" s="113">
        <f t="shared" si="26"/>
        <v>0</v>
      </c>
      <c r="U55" s="113">
        <f t="shared" si="27"/>
        <v>0</v>
      </c>
      <c r="V55" s="116">
        <f t="shared" si="28"/>
        <v>22</v>
      </c>
      <c r="W55" s="113">
        <f t="shared" si="29"/>
        <v>1300</v>
      </c>
      <c r="X55" s="122">
        <f t="shared" si="30"/>
        <v>1.6419077404222104E-2</v>
      </c>
      <c r="Y55" s="113" t="str">
        <f>INDEX(설정!$A$15:$A$20,IF(N55*M55&gt;=O55*L55,K55,J55))</f>
        <v>루비</v>
      </c>
      <c r="Z55" s="113">
        <f>ROUND(V55*'공중 유닛 설정'!$C$11,0)</f>
        <v>0</v>
      </c>
      <c r="AA55" s="113">
        <f t="shared" si="31"/>
        <v>22</v>
      </c>
      <c r="AB55" s="113">
        <f t="shared" si="16"/>
        <v>1</v>
      </c>
    </row>
    <row r="56" spans="1:28" x14ac:dyDescent="0.3">
      <c r="A56" s="116" t="s">
        <v>267</v>
      </c>
      <c r="B56" s="112" t="str">
        <f>'공중 유닛 배치'!C28</f>
        <v>6-4</v>
      </c>
      <c r="C56" s="112">
        <f>'공중 유닛 배치'!D28</f>
        <v>24</v>
      </c>
      <c r="D56" s="113">
        <f t="shared" si="17"/>
        <v>6</v>
      </c>
      <c r="E56" s="112">
        <f>'공중 유닛 배치'!R28</f>
        <v>1596</v>
      </c>
      <c r="F56" s="112">
        <f>'공중 유닛 배치'!N28</f>
        <v>1</v>
      </c>
      <c r="G56" s="113">
        <f>ROUND('공중 유닛 설정'!$C$12*(1+'공중 유닛 설정'!$C$13)^(C56-1)*(1+'공중 유닛 설정'!$C$14)^(D56-1),0)</f>
        <v>22</v>
      </c>
      <c r="H56" s="114">
        <f t="shared" si="18"/>
        <v>72.545454545454547</v>
      </c>
      <c r="I56" s="113">
        <f>COUNTIF(설정!$C$34:$C$39,"&lt;="&amp;MAX(1,C56-'공중 유닛 설정'!$C$15))</f>
        <v>5</v>
      </c>
      <c r="J56" s="113">
        <f>MIN(I56,MAX(1,COUNTIF(설정!$B$15:$B$20,"&lt;="&amp;H56)))</f>
        <v>3</v>
      </c>
      <c r="K56" s="113">
        <f t="shared" si="19"/>
        <v>4</v>
      </c>
      <c r="L56" s="113">
        <f>INDEX(설정!$B$15:$B$20,J56)</f>
        <v>25</v>
      </c>
      <c r="M56" s="113">
        <f>INDEX(설정!$B$15:$B$20,K56)</f>
        <v>100</v>
      </c>
      <c r="N56" s="113">
        <f t="shared" si="20"/>
        <v>14</v>
      </c>
      <c r="O56" s="113">
        <f t="shared" si="21"/>
        <v>8</v>
      </c>
      <c r="P56" s="113">
        <f t="shared" si="22"/>
        <v>0</v>
      </c>
      <c r="Q56" s="113">
        <f t="shared" si="23"/>
        <v>0</v>
      </c>
      <c r="R56" s="113">
        <f t="shared" si="24"/>
        <v>14</v>
      </c>
      <c r="S56" s="113">
        <f t="shared" si="25"/>
        <v>8</v>
      </c>
      <c r="T56" s="113">
        <f t="shared" si="26"/>
        <v>0</v>
      </c>
      <c r="U56" s="113">
        <f t="shared" si="27"/>
        <v>0</v>
      </c>
      <c r="V56" s="116">
        <f t="shared" si="28"/>
        <v>22</v>
      </c>
      <c r="W56" s="113">
        <f t="shared" si="29"/>
        <v>1600</v>
      </c>
      <c r="X56" s="122">
        <f t="shared" si="30"/>
        <v>2.5062656641603454E-3</v>
      </c>
      <c r="Y56" s="113" t="str">
        <f>INDEX(설정!$A$15:$A$20,IF(N56*M56&gt;=O56*L56,K56,J56))</f>
        <v>루비</v>
      </c>
      <c r="Z56" s="113">
        <f>ROUND(V56*'공중 유닛 설정'!$C$11,0)</f>
        <v>0</v>
      </c>
      <c r="AA56" s="113">
        <f t="shared" si="31"/>
        <v>22</v>
      </c>
      <c r="AB56" s="113">
        <f t="shared" si="16"/>
        <v>0</v>
      </c>
    </row>
    <row r="57" spans="1:28" x14ac:dyDescent="0.3">
      <c r="A57" s="110" t="s">
        <v>267</v>
      </c>
      <c r="B57" s="106" t="str">
        <f>'공중 유닛 배치'!C29</f>
        <v>7-1</v>
      </c>
      <c r="C57" s="106">
        <f>'공중 유닛 배치'!D29</f>
        <v>25</v>
      </c>
      <c r="D57" s="107">
        <f t="shared" si="17"/>
        <v>7</v>
      </c>
      <c r="E57" s="106">
        <f>'공중 유닛 배치'!R29</f>
        <v>1925</v>
      </c>
      <c r="F57" s="106">
        <f>'공중 유닛 배치'!N29</f>
        <v>0</v>
      </c>
      <c r="G57" s="107">
        <f>ROUND('공중 유닛 설정'!$C$12*(1+'공중 유닛 설정'!$C$13)^(C57-1)*(1+'공중 유닛 설정'!$C$14)^(D57-1),0)</f>
        <v>24</v>
      </c>
      <c r="H57" s="108">
        <f t="shared" si="18"/>
        <v>80.208333333333329</v>
      </c>
      <c r="I57" s="107">
        <f>COUNTIF(설정!$C$34:$C$39,"&lt;="&amp;MAX(1,C57-'공중 유닛 설정'!$C$15))</f>
        <v>5</v>
      </c>
      <c r="J57" s="107">
        <f>MIN(I57,MAX(1,COUNTIF(설정!$B$15:$B$20,"&lt;="&amp;H57)))</f>
        <v>3</v>
      </c>
      <c r="K57" s="107">
        <f t="shared" si="19"/>
        <v>4</v>
      </c>
      <c r="L57" s="107">
        <f>INDEX(설정!$B$15:$B$20,J57)</f>
        <v>25</v>
      </c>
      <c r="M57" s="107">
        <f>INDEX(설정!$B$15:$B$20,K57)</f>
        <v>100</v>
      </c>
      <c r="N57" s="107">
        <f t="shared" si="20"/>
        <v>18</v>
      </c>
      <c r="O57" s="107">
        <f t="shared" si="21"/>
        <v>6</v>
      </c>
      <c r="P57" s="107">
        <f t="shared" si="22"/>
        <v>0</v>
      </c>
      <c r="Q57" s="107">
        <f t="shared" si="23"/>
        <v>0</v>
      </c>
      <c r="R57" s="107">
        <f t="shared" si="24"/>
        <v>18</v>
      </c>
      <c r="S57" s="107">
        <f t="shared" si="25"/>
        <v>6</v>
      </c>
      <c r="T57" s="107">
        <f t="shared" si="26"/>
        <v>0</v>
      </c>
      <c r="U57" s="107">
        <f t="shared" si="27"/>
        <v>0</v>
      </c>
      <c r="V57" s="110">
        <f t="shared" si="28"/>
        <v>24</v>
      </c>
      <c r="W57" s="107">
        <f t="shared" si="29"/>
        <v>1950</v>
      </c>
      <c r="X57" s="121">
        <f t="shared" si="30"/>
        <v>1.298701298701288E-2</v>
      </c>
      <c r="Y57" s="107" t="str">
        <f>INDEX(설정!$A$15:$A$20,IF(N57*M57&gt;=O57*L57,K57,J57))</f>
        <v>루비</v>
      </c>
      <c r="Z57" s="107">
        <f>ROUND(V57*'공중 유닛 설정'!$C$11,0)</f>
        <v>0</v>
      </c>
      <c r="AA57" s="107">
        <f t="shared" si="31"/>
        <v>24</v>
      </c>
      <c r="AB57" s="107">
        <f t="shared" si="16"/>
        <v>2</v>
      </c>
    </row>
    <row r="58" spans="1:28" x14ac:dyDescent="0.3">
      <c r="A58" s="110" t="s">
        <v>267</v>
      </c>
      <c r="B58" s="106" t="str">
        <f>'공중 유닛 배치'!C30</f>
        <v>7-2</v>
      </c>
      <c r="C58" s="106">
        <f>'공중 유닛 배치'!D30</f>
        <v>26</v>
      </c>
      <c r="D58" s="107">
        <f t="shared" si="17"/>
        <v>7</v>
      </c>
      <c r="E58" s="106">
        <f>'공중 유닛 배치'!R30</f>
        <v>2407</v>
      </c>
      <c r="F58" s="106">
        <f>'공중 유닛 배치'!N30</f>
        <v>1</v>
      </c>
      <c r="G58" s="107">
        <f>ROUND('공중 유닛 설정'!$C$12*(1+'공중 유닛 설정'!$C$13)^(C58-1)*(1+'공중 유닛 설정'!$C$14)^(D58-1),0)</f>
        <v>25</v>
      </c>
      <c r="H58" s="108">
        <f t="shared" si="18"/>
        <v>96.28</v>
      </c>
      <c r="I58" s="107">
        <f>COUNTIF(설정!$C$34:$C$39,"&lt;="&amp;MAX(1,C58-'공중 유닛 설정'!$C$15))</f>
        <v>5</v>
      </c>
      <c r="J58" s="107">
        <f>MIN(I58,MAX(1,COUNTIF(설정!$B$15:$B$20,"&lt;="&amp;H58)))</f>
        <v>3</v>
      </c>
      <c r="K58" s="107">
        <f t="shared" si="19"/>
        <v>4</v>
      </c>
      <c r="L58" s="107">
        <f>INDEX(설정!$B$15:$B$20,J58)</f>
        <v>25</v>
      </c>
      <c r="M58" s="107">
        <f>INDEX(설정!$B$15:$B$20,K58)</f>
        <v>100</v>
      </c>
      <c r="N58" s="107">
        <f t="shared" si="20"/>
        <v>24</v>
      </c>
      <c r="O58" s="107">
        <f t="shared" si="21"/>
        <v>1</v>
      </c>
      <c r="P58" s="107">
        <f t="shared" si="22"/>
        <v>0</v>
      </c>
      <c r="Q58" s="107">
        <f t="shared" si="23"/>
        <v>0</v>
      </c>
      <c r="R58" s="107">
        <f t="shared" si="24"/>
        <v>24</v>
      </c>
      <c r="S58" s="107">
        <f t="shared" si="25"/>
        <v>1</v>
      </c>
      <c r="T58" s="107">
        <f t="shared" si="26"/>
        <v>0</v>
      </c>
      <c r="U58" s="107">
        <f t="shared" si="27"/>
        <v>0</v>
      </c>
      <c r="V58" s="110">
        <f t="shared" si="28"/>
        <v>25</v>
      </c>
      <c r="W58" s="107">
        <f t="shared" si="29"/>
        <v>2425</v>
      </c>
      <c r="X58" s="121">
        <f t="shared" si="30"/>
        <v>7.478188616535153E-3</v>
      </c>
      <c r="Y58" s="107" t="str">
        <f>INDEX(설정!$A$15:$A$20,IF(N58*M58&gt;=O58*L58,K58,J58))</f>
        <v>루비</v>
      </c>
      <c r="Z58" s="107">
        <f>ROUND(V58*'공중 유닛 설정'!$C$11,0)</f>
        <v>0</v>
      </c>
      <c r="AA58" s="107">
        <f t="shared" si="31"/>
        <v>25</v>
      </c>
      <c r="AB58" s="107">
        <f t="shared" si="16"/>
        <v>1</v>
      </c>
    </row>
    <row r="59" spans="1:28" x14ac:dyDescent="0.3">
      <c r="A59" s="110" t="s">
        <v>267</v>
      </c>
      <c r="B59" s="106" t="str">
        <f>'공중 유닛 배치'!C31</f>
        <v>7-3</v>
      </c>
      <c r="C59" s="106">
        <f>'공중 유닛 배치'!D31</f>
        <v>27</v>
      </c>
      <c r="D59" s="107">
        <f t="shared" si="17"/>
        <v>7</v>
      </c>
      <c r="E59" s="106">
        <f>'공중 유닛 배치'!R31</f>
        <v>2888</v>
      </c>
      <c r="F59" s="106">
        <f>'공중 유닛 배치'!N31</f>
        <v>0</v>
      </c>
      <c r="G59" s="107">
        <f>ROUND('공중 유닛 설정'!$C$12*(1+'공중 유닛 설정'!$C$13)^(C59-1)*(1+'공중 유닛 설정'!$C$14)^(D59-1),0)</f>
        <v>25</v>
      </c>
      <c r="H59" s="108">
        <f t="shared" si="18"/>
        <v>115.52</v>
      </c>
      <c r="I59" s="107">
        <f>COUNTIF(설정!$C$34:$C$39,"&lt;="&amp;MAX(1,C59-'공중 유닛 설정'!$C$15))</f>
        <v>5</v>
      </c>
      <c r="J59" s="107">
        <f>MIN(I59,MAX(1,COUNTIF(설정!$B$15:$B$20,"&lt;="&amp;H59)))</f>
        <v>4</v>
      </c>
      <c r="K59" s="107">
        <f t="shared" si="19"/>
        <v>5</v>
      </c>
      <c r="L59" s="107">
        <f>INDEX(설정!$B$15:$B$20,J59)</f>
        <v>100</v>
      </c>
      <c r="M59" s="107">
        <f>INDEX(설정!$B$15:$B$20,K59)</f>
        <v>500</v>
      </c>
      <c r="N59" s="107">
        <f t="shared" si="20"/>
        <v>1</v>
      </c>
      <c r="O59" s="107">
        <f t="shared" si="21"/>
        <v>24</v>
      </c>
      <c r="P59" s="107">
        <f t="shared" si="22"/>
        <v>0</v>
      </c>
      <c r="Q59" s="107">
        <f t="shared" si="23"/>
        <v>1</v>
      </c>
      <c r="R59" s="107">
        <f t="shared" si="24"/>
        <v>24</v>
      </c>
      <c r="S59" s="107">
        <f t="shared" si="25"/>
        <v>0</v>
      </c>
      <c r="T59" s="107">
        <f t="shared" si="26"/>
        <v>0</v>
      </c>
      <c r="U59" s="107">
        <f t="shared" si="27"/>
        <v>0</v>
      </c>
      <c r="V59" s="110">
        <f t="shared" si="28"/>
        <v>25</v>
      </c>
      <c r="W59" s="107">
        <f t="shared" si="29"/>
        <v>2900</v>
      </c>
      <c r="X59" s="121">
        <f t="shared" si="30"/>
        <v>4.1551246537396835E-3</v>
      </c>
      <c r="Y59" s="107" t="str">
        <f>INDEX(설정!$A$15:$A$20,IF(N59*M59&gt;=O59*L59,K59,J59))</f>
        <v>루비</v>
      </c>
      <c r="Z59" s="107">
        <f>ROUND(V59*'공중 유닛 설정'!$C$11,0)</f>
        <v>0</v>
      </c>
      <c r="AA59" s="107">
        <f t="shared" si="31"/>
        <v>25</v>
      </c>
      <c r="AB59" s="107">
        <f t="shared" si="16"/>
        <v>0</v>
      </c>
    </row>
    <row r="60" spans="1:28" x14ac:dyDescent="0.3">
      <c r="A60" s="110" t="s">
        <v>267</v>
      </c>
      <c r="B60" s="106" t="str">
        <f>'공중 유닛 배치'!C32</f>
        <v>7-4</v>
      </c>
      <c r="C60" s="106">
        <f>'공중 유닛 배치'!D32</f>
        <v>28</v>
      </c>
      <c r="D60" s="107">
        <f t="shared" si="17"/>
        <v>7</v>
      </c>
      <c r="E60" s="106">
        <f>'공중 유닛 배치'!R32</f>
        <v>3576</v>
      </c>
      <c r="F60" s="106">
        <f>'공중 유닛 배치'!N32</f>
        <v>1</v>
      </c>
      <c r="G60" s="107">
        <f>ROUND('공중 유닛 설정'!$C$12*(1+'공중 유닛 설정'!$C$13)^(C60-1)*(1+'공중 유닛 설정'!$C$14)^(D60-1),0)</f>
        <v>26</v>
      </c>
      <c r="H60" s="108">
        <f t="shared" si="18"/>
        <v>137.53846153846155</v>
      </c>
      <c r="I60" s="107">
        <f>COUNTIF(설정!$C$34:$C$39,"&lt;="&amp;MAX(1,C60-'공중 유닛 설정'!$C$15))</f>
        <v>5</v>
      </c>
      <c r="J60" s="107">
        <f>MIN(I60,MAX(1,COUNTIF(설정!$B$15:$B$20,"&lt;="&amp;H60)))</f>
        <v>4</v>
      </c>
      <c r="K60" s="107">
        <f t="shared" si="19"/>
        <v>5</v>
      </c>
      <c r="L60" s="107">
        <f>INDEX(설정!$B$15:$B$20,J60)</f>
        <v>100</v>
      </c>
      <c r="M60" s="107">
        <f>INDEX(설정!$B$15:$B$20,K60)</f>
        <v>500</v>
      </c>
      <c r="N60" s="107">
        <f t="shared" si="20"/>
        <v>2</v>
      </c>
      <c r="O60" s="107">
        <f t="shared" si="21"/>
        <v>24</v>
      </c>
      <c r="P60" s="107">
        <f t="shared" si="22"/>
        <v>0</v>
      </c>
      <c r="Q60" s="107">
        <f t="shared" si="23"/>
        <v>2</v>
      </c>
      <c r="R60" s="107">
        <f t="shared" si="24"/>
        <v>24</v>
      </c>
      <c r="S60" s="107">
        <f t="shared" si="25"/>
        <v>0</v>
      </c>
      <c r="T60" s="107">
        <f t="shared" si="26"/>
        <v>0</v>
      </c>
      <c r="U60" s="107">
        <f t="shared" si="27"/>
        <v>0</v>
      </c>
      <c r="V60" s="110">
        <f t="shared" si="28"/>
        <v>26</v>
      </c>
      <c r="W60" s="107">
        <f t="shared" si="29"/>
        <v>3400</v>
      </c>
      <c r="X60" s="121">
        <f t="shared" si="30"/>
        <v>-4.9217002237136431E-2</v>
      </c>
      <c r="Y60" s="107" t="str">
        <f>INDEX(설정!$A$15:$A$20,IF(N60*M60&gt;=O60*L60,K60,J60))</f>
        <v>루비</v>
      </c>
      <c r="Z60" s="107">
        <f>ROUND(V60*'공중 유닛 설정'!$C$11,0)</f>
        <v>0</v>
      </c>
      <c r="AA60" s="107">
        <f t="shared" si="31"/>
        <v>26</v>
      </c>
      <c r="AB60" s="107">
        <f t="shared" si="16"/>
        <v>1</v>
      </c>
    </row>
  </sheetData>
  <phoneticPr fontId="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8"/>
  <sheetViews>
    <sheetView workbookViewId="0"/>
  </sheetViews>
  <sheetFormatPr defaultRowHeight="16.5" x14ac:dyDescent="0.3"/>
  <cols>
    <col min="1" max="1" width="140" customWidth="1"/>
  </cols>
  <sheetData>
    <row r="1" spans="1:1" ht="20.25" x14ac:dyDescent="0.3">
      <c r="A1" s="123" t="s">
        <v>467</v>
      </c>
    </row>
    <row r="2" spans="1:1" x14ac:dyDescent="0.3">
      <c r="A2" s="124" t="s">
        <v>468</v>
      </c>
    </row>
    <row r="3" spans="1:1" x14ac:dyDescent="0.3">
      <c r="A3" s="125" t="s">
        <v>469</v>
      </c>
    </row>
    <row r="4" spans="1:1" x14ac:dyDescent="0.3">
      <c r="A4" s="126" t="s">
        <v>470</v>
      </c>
    </row>
    <row r="5" spans="1:1" x14ac:dyDescent="0.3">
      <c r="A5" s="126" t="s">
        <v>471</v>
      </c>
    </row>
    <row r="6" spans="1:1" x14ac:dyDescent="0.3">
      <c r="A6" s="126" t="s">
        <v>472</v>
      </c>
    </row>
    <row r="7" spans="1:1" x14ac:dyDescent="0.3">
      <c r="A7" s="125" t="s">
        <v>473</v>
      </c>
    </row>
    <row r="8" spans="1:1" x14ac:dyDescent="0.3">
      <c r="A8" s="126" t="s">
        <v>474</v>
      </c>
    </row>
    <row r="9" spans="1:1" x14ac:dyDescent="0.3">
      <c r="A9" s="126" t="s">
        <v>475</v>
      </c>
    </row>
    <row r="10" spans="1:1" x14ac:dyDescent="0.3">
      <c r="A10" s="126" t="s">
        <v>476</v>
      </c>
    </row>
    <row r="11" spans="1:1" x14ac:dyDescent="0.3">
      <c r="A11" s="126" t="s">
        <v>477</v>
      </c>
    </row>
    <row r="12" spans="1:1" x14ac:dyDescent="0.3">
      <c r="A12" s="126" t="s">
        <v>478</v>
      </c>
    </row>
    <row r="13" spans="1:1" x14ac:dyDescent="0.3">
      <c r="A13" s="125" t="s">
        <v>479</v>
      </c>
    </row>
    <row r="14" spans="1:1" x14ac:dyDescent="0.3">
      <c r="A14" s="126" t="s">
        <v>480</v>
      </c>
    </row>
    <row r="15" spans="1:1" x14ac:dyDescent="0.3">
      <c r="A15" s="126" t="s">
        <v>481</v>
      </c>
    </row>
    <row r="16" spans="1:1" x14ac:dyDescent="0.3">
      <c r="A16" s="126" t="s">
        <v>482</v>
      </c>
    </row>
    <row r="17" spans="1:1" x14ac:dyDescent="0.3">
      <c r="A17" s="126" t="s">
        <v>483</v>
      </c>
    </row>
    <row r="18" spans="1:1" x14ac:dyDescent="0.3">
      <c r="A18" s="126" t="s">
        <v>484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요약</vt:lpstr>
      <vt:lpstr>개편안 설명</vt:lpstr>
      <vt:lpstr>개편 요약</vt:lpstr>
      <vt:lpstr>설정</vt:lpstr>
      <vt:lpstr>스테이지별 골드</vt:lpstr>
      <vt:lpstr>허들 설계</vt:lpstr>
      <vt:lpstr>드랍 구성</vt:lpstr>
      <vt:lpstr>드랍 구성 (개편)</vt:lpstr>
      <vt:lpstr>공중 유닛 설정</vt:lpstr>
      <vt:lpstr>공중 유닛 목록</vt:lpstr>
      <vt:lpstr>공중 유닛 배치</vt:lpstr>
      <vt:lpstr>공중 유닛 드랍</vt:lpstr>
      <vt:lpstr>공중 유닛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2026-10-02T02:05:52Z</dcterms:created>
  <dcterms:modified xsi:type="dcterms:W3CDTF">2026-10-07T02:28:30Z</dcterms:modified>
</cp:coreProperties>
</file>